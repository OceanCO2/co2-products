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_form" sheetId="1" r:id="rId5"/>
    <sheet state="visible" name="web_formatted"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
      <text>
        <t xml:space="preserve">DOI to the citation</t>
      </text>
    </comment>
    <comment authorId="0" ref="U1">
      <text>
        <t xml:space="preserve">Link to your data repository that is also the DOI</t>
      </text>
    </comment>
  </commentList>
</comments>
</file>

<file path=xl/sharedStrings.xml><?xml version="1.0" encoding="utf-8"?>
<sst xmlns="http://schemas.openxmlformats.org/spreadsheetml/2006/main" count="1104" uniqueCount="775">
  <si>
    <t>Timestamp</t>
  </si>
  <si>
    <t>Email Address</t>
  </si>
  <si>
    <t>Data category</t>
  </si>
  <si>
    <t>Product name</t>
  </si>
  <si>
    <t>Reference</t>
  </si>
  <si>
    <t>Citation</t>
  </si>
  <si>
    <t>Citation DOI</t>
  </si>
  <si>
    <t>Image URL</t>
  </si>
  <si>
    <t>Data access link</t>
  </si>
  <si>
    <t>Spatial resolution</t>
  </si>
  <si>
    <t>Temporal resolution</t>
  </si>
  <si>
    <t>Period</t>
  </si>
  <si>
    <t>Spatial domain</t>
  </si>
  <si>
    <t>Sampling type</t>
  </si>
  <si>
    <t>Highlights</t>
  </si>
  <si>
    <t>Description</t>
  </si>
  <si>
    <t>Citation DOI status</t>
  </si>
  <si>
    <t>Data access status</t>
  </si>
  <si>
    <t>Data compilations</t>
  </si>
  <si>
    <t>SOCAT</t>
  </si>
  <si>
    <r>
      <rPr>
        <color rgb="FF000000"/>
      </rPr>
      <t xml:space="preserve">Bakker, D. C. E., Pfeil, B., Landa, C. S., Metzl, N., O'Brien, K. M., Olsen, A., Smith, K., Cosca, C., Harasawa, S., Jones, S. D., Nakaoka, S., Nojiri, Y., Schuster, U., Steinhoff, T., Sweeney, C., Takahashi, T., Tilbrook, B., Wada, C., Wanninkhof, R., Alin, S. R., Balestrini, C. F., Barbero, L., Bates, N. R., Bianchi, A. A., Bonou, F., Boutin, J., Bozec, Y., Burger, E. F., Cai, W.-J., Castle, R. D., Chen, L., Chierici, M., Currie, K., Evans, W., Featherstone, C., Feely, R. A., Fransson, A., Goyet, C., Greenwood, N., Gregor, L., Hankin, S., Hardman-Mountford, N. J., Harlay, J., Hauck, J., Hoppema, M., Humphreys, M. P., Hunt, C. W., Huss, B., Ibánhez, J. S. P., Johannessen, T., Keeling, R., Kitidis, V., Körtzinger, A., Kozyr, A., Krasakopoulou, E., Kuwata, A., Landschützer, P., Lauvset, S. K., Lefèvre, N., Lo Monaco, C., Manke, A., Mathis, J. T., Merlivat, L., Millero, F. J., Monteiro, P. M. S., Munro, D. R., Murata, A., Newberger, T., Omar, A. M., Ono, T., Paterson, K., Pearce, D., Pierrot, D., Robbins, L. L., Saito, S., Salisbury, J., Schlitzer, R., Schneider, B., Schweitzer, R., Sieger, R., Skjelvan, I., Sullivan, K. F., Sutherland, S. C., Sutton, A. J., Tadokoro, K., Telszewski, M., Tuma, M., van Heuven, S. M. A. C., Vandemark, D., Ward, B., Watson, A. J., and Xu, S. (2016). A multi-decade record of high-quality fCO2 data in version 3 of the Surface Ocean CO2 Atlas (SOCAT), Earth Syst. Sci. Data, 8, 383–413, </t>
    </r>
    <r>
      <rPr>
        <color rgb="FF1155CC"/>
        <u/>
      </rPr>
      <t>https://doi.org/10.5194/essd-8-383-2016.</t>
    </r>
  </si>
  <si>
    <t>Bakker et al. (2016)</t>
  </si>
  <si>
    <t>https://doi.org/10.5194/essd-8-383-2016</t>
  </si>
  <si>
    <t>https://socat.info/wp-content/uploads/2017/06/cropped-socat_cat.png</t>
  </si>
  <si>
    <t>https://socat.info/</t>
  </si>
  <si>
    <t>continuous</t>
  </si>
  <si>
    <t>1957 - 2025</t>
  </si>
  <si>
    <t>Open ocean, Coastal ocean, Surface</t>
  </si>
  <si>
    <t>Continuous</t>
  </si>
  <si>
    <t>The largest collection of surface ocean carbon observations</t>
  </si>
  <si>
    <t xml:space="preserve">The Surface Ocean CO2 Atlas features surface fCO2 measurements from both the open ocean and the coastal ocean, predominantly sourced from research vessels, ships of opportunity, and autonomous platforms including fixed moorings and uncrewed surface vehicles (USVs) (Bakker et al., 2016). It represents the most extensive collection of observational ocean CO2 data for the global surface ocean. Since 2013, SOCAT has been updated annually. Dataset flags indicate the estimated uncertainty and completeness of metadata in SOCAT synthesis products. The SOCAT gridded product contains fCO2 values with an estimated uncertainty of less than 5 µatm. </t>
  </si>
  <si>
    <t>LDEO Surface pCO2 Database</t>
  </si>
  <si>
    <t>Takahashi, T., Sutherland, S. C., Wanninkhof, R., Sweeney, C., Feely, R. A., Chipman, D. W., Hales, B., Friederich, G., Chavez, F., Sabine, C., Watson, A., Bakker, D. C. E., Schuster, U., Metzl, N., Yoshikawa-Inoue, H., Ishii, M., Midorikawa, T., Nojiri, Y., Körtzinger, A., Steinhoff, T., and de Baar, H. J. W.: Climatological mean and decadal change in Surface Ocean pCO2, and net sea–air CO2 flux over the Global Oceans, Deep Sea Research Part II: Topical Studies in Oceanography, 56(8–10), 554–577, https://doi.org/10.1016/j.dsr2.2008.12.009, 2009.</t>
  </si>
  <si>
    <t>Takahashi et a. (2009)</t>
  </si>
  <si>
    <t>https://doi.org/10.1016/j.dsr2.2008.12.009</t>
  </si>
  <si>
    <t>https://www.ncei.noaa.gov/access/ocean-carbon-acidification-data-system/oceans/LDEO_Underway_Database/LDEOv2019_map.jpg</t>
  </si>
  <si>
    <t>https://www.ncei.noaa.gov/data/oceans/ncei/ocads/metadata/0160492.html</t>
  </si>
  <si>
    <t/>
  </si>
  <si>
    <t>Open ocean, Surface</t>
  </si>
  <si>
    <t>The LDEO database reports pCO2 exclusively from equilibrator-CO2 analyzer systems</t>
  </si>
  <si>
    <t xml:space="preserve">Dr. Taro Takahashi [LDEO, Palisades, New York] started synthesizing global surface ocean CO2 data in 1997, compiling three decades of observations (~250,000 measurements) to create  inaugural monthly global surface pCO2 maps (Takahashi et al., 1997; Takahashi et al., 2002). The most recent version (V2019) expanded this dataset to approximately 14.2 million surface water pCO2 measurements spanning from 1957–2019. Distinct from the SOCAT database, the LDEO database reports pCO2, instead of fCO2, exclusively from equilibrator-CO2 analyzer systems, with an average estimated uncertainty of ± 2.5 µatm. The database is also interpolated onto a global surface ocean 4° × 5° grid for a reference year 2000 (Takahashi et al., 2009) and 2010 (Fay et al., 2024). </t>
  </si>
  <si>
    <t>GLODAPv2</t>
  </si>
  <si>
    <t>Lauvset, S. K., Lange, N., Tanhua, T., Bittig, H. C., Olsen, A., Kozyr, A., Álvarez, M., Azetsu-Scott, K., Brown, P. J., Carter, B. R., Cotrim da Cunha, L., Hoppema, M., Humphreys, M. P., Ishii, M., Jeansson, E., Murata, A., Müller, J. D., Pérez, F. F., Schirnick, C., Steinfeldt, R., Suzuki, T., Ulfsbo, A., Velo, A., Woosley, R. J., and Key, R. M.: The annual update GLODAPv2.2023: the global interior ocean biogeochemical data product, Earth Syst. Sci. Data, 16, 2047–2072, https://doi.org/10.5194/essd-16-2047-2024, 2024</t>
  </si>
  <si>
    <t>Lauvset et al. (2024)</t>
  </si>
  <si>
    <t>https://doi.org/10.5194/essd-16-2047-2024</t>
  </si>
  <si>
    <t>https://glodap.info/wp-content/uploads/2017/09/cropped-glodap_logo_trans.png</t>
  </si>
  <si>
    <t>https://glodap.info/</t>
  </si>
  <si>
    <t>discrete</t>
  </si>
  <si>
    <t>1960 - 2024</t>
  </si>
  <si>
    <t>Open ocean, Water column</t>
  </si>
  <si>
    <t>Discrete bottle</t>
  </si>
  <si>
    <t>Adjustments are applied by comparing data in the deep ocean (&gt;2000 m) using a crossover and inversion method as described by Johnson et al. (2001).</t>
  </si>
  <si>
    <t xml:space="preserve">The Global Ocean Data Analysis Project Version 2 (GLODAPv2) aggregates biogeochemical data collected from discrete bottle samples, offering extensive global coverage from the surface to depths (Key et al., 2015; Olsen et al., 2016; Lauvset et al., 2024). While GLODAP is primarily a product for basin-scale hydrographic data, it also includes coastal datasets and observations from a few time-series. The GLODAPv2 data product provides rigorously quality-controlled measurements for 14 essential oceanographic variables: temperature, salinity, dissolved oxygen (DO), nitrate, silicate, phosphate, DIC, TA, pH, chlorofluorocarbons (CFC-11, CFC-12, CFC-113), carbon tetrachloride (CCl4), and sulfur hexafluoride (SF6). These variables, excluding temperature, undergo both primary and secondary quality control procedures to detect outliers and adjust for significant measurement biases. GLODAPv2 was first published in 2016 and was updated annually through a living data process in Earth System Science Data from 2019 through “v2023,” which was published in 2024. For these updates, new data (including historical data not previously included in the data product) are quality controlled and adjusted to the 2016 version (Olsen et al., 2019; Olsen et al., 2020; Lauvset et al., 2021; Lauvset et al., 2022; Lauvset et al., 2024). Since the global repeat hydrography programs operate with decadal repetitions, the aim is to produce a completely new version of GLODAP, where all cruise datasets will be reevaluated, every decade. Release of the GLODAPv3 data product is planned for 2026, and is expected to evolve the secondary data quality control practices relative to those used in GLODAPv2. For more information on the secondary quality control process, refer to Tanhua et al. (2010) and Lauvset and Tanhua (2015). GLODAPv2 offers two kind of products: the collection of quality controlled data from discrete bottle samples taken at sampling location (Key et al., 2015; Olsen et al., 2016; Olsen et al., 2019; Olsen et al., 2020; Lauvset et al., 2021; Lauvset et al., 2022; Lauvset et al., 2024), and a gridded product, interpolated to a 1° × 1°  grid and the 33 standard depth levels of World Ocean Atlas (WOA) (Lauvset et al., 2016). </t>
  </si>
  <si>
    <t>jswift@ucsd.edu</t>
  </si>
  <si>
    <t>Quality Edited Hydrographic Data</t>
  </si>
  <si>
    <t>Swift, James H. and Barna, A.  (2026). Quality Edited Vertical Ocean Section and Gridded Hydrographic Data. UC San Diego Library Digital Collections. Dataset. https://doi.org/10.6075/J0K074P0</t>
  </si>
  <si>
    <t>Swift et al. (2026)</t>
  </si>
  <si>
    <t>n/a</t>
  </si>
  <si>
    <t>https://i.ibb.co/Q7YZfHK2/Swift-Vertical-Section-Map.png</t>
  </si>
  <si>
    <t>https://joa.ucsd.edu/Data_homepage</t>
  </si>
  <si>
    <t>irregular</t>
  </si>
  <si>
    <t>1967-2025</t>
  </si>
  <si>
    <t>Similar to GLODAPv2, with no adjustments</t>
  </si>
  <si>
    <t>World Ocean Database</t>
  </si>
  <si>
    <t xml:space="preserve">Mishonov, A. V., Boyer, T. P., Baranova, O. K., Bouchard, C. N., Cross, S. L., Garcia H. E., Locarnini, R. A., Paver, C. R., Wang, Z., Seidov, D., Grodsky, A. I., Beauchamp, J. G.: World Ocean Database 2023, C. Bouchard, Technical Ed., NOAA Atlas NESDIS 97, 206 pp., https://doi.org/10.25923/z885-h264, 2024. </t>
  </si>
  <si>
    <t>Mishonov et al. (2024)</t>
  </si>
  <si>
    <t>https://doi.org/10.25923/z885-h264</t>
  </si>
  <si>
    <t>https://www.ncei.noaa.gov/sites/g/files/anmtlf171/files/inline-images/World%20Ocean%20Atlas%202023%20Climatology%2C%20Decade%202015-2022.png</t>
  </si>
  <si>
    <t>https://www.ncei.noaa.gov/products/world-ocean-database</t>
  </si>
  <si>
    <t xml:space="preserve">In addition to the GLODAPv2 and JOA Suite, users can also access historical and recent original biogeochemical data collected from discrete bottle samples in a uniform format and units, along with their originator quality control (QC) flags, through the World Ocean Database (WOD) (Mishonov et al., 2024). Like the JOA Suite, these measured data remain unaltered. The WOD allows users to filter and subset data with specific variables, platforms, institutions, projects, regions, or time periods (Garcia et al., 2024). Users can visualize sampling locations on a “distribution plot” and access a cruise list for all selected data and variables. Users also have the option of exporting data in NetCDF or Comma-Separated Values (CSV) formats. Additionally, all data in the WOD are reproducible and traceable to their original data sources archived at NOAA’s National Centers for Environmental Information (NCEI). </t>
  </si>
  <si>
    <t>SNAPO-CO2</t>
  </si>
  <si>
    <t>Metzl, N., Fin, J., Lo Monaco, C., Mignon, C., Alliouane, S., Antoine, D., Bourdin, G., Boutin, J., Bozec, Y., Conan, P., Coppola, L., Diaz, F., Douville, E., Durrieu de Madron, X., Gattuso, J.-P., Gazeau, F., Golbol, M., Lansard, B., Lefèvre, D., Lefèvre, N., Lombard, F., Louanchi, F., Merlivat, L., Olivier, L., Petrenko, A., Petton, S., Pujo-Pay, M., Rabouille, C., Reverdin, G., Ridame, C., Tribollet, A., Vellucci, V., Wagener, T., and Wimart-Rousseau, C.: A synthesis of ocean total alkalinity and dissolved inorganic carbon measurements from 1993 to 2022: the SNAPO-CO2-v1 dataset, Earth Syst. Sci. Data, 16, 89–120, https://doi.org/10.5194/essd-16-89-2024, 2024.</t>
  </si>
  <si>
    <t>Metzl et al (2024)</t>
  </si>
  <si>
    <t>https://doi.org/10.5194/essd-16-89-2024</t>
  </si>
  <si>
    <t>https://www.seanoe.org/data/00911/102337/illustration.gif</t>
  </si>
  <si>
    <t>https://doi.org/10.17882/102337</t>
  </si>
  <si>
    <t>1993-2022</t>
  </si>
  <si>
    <t>Open ocean, Coastal ocean, Surface, Water column</t>
  </si>
  <si>
    <t>A compilation of cruises from multiple French initiatives</t>
  </si>
  <si>
    <t xml:space="preserve">Synthesis of 44,400 measurements of DIC and TA from a series of research cruises and ships of opportunity across various oceanic regions from 1993-2022, from several French research programs, to create a product called “Service National d’Analyse des Paramètres Océaniques du CO2 (SNAPO-CO2)”. </t>
  </si>
  <si>
    <t>Liqing.Jiang@noaa.gov</t>
  </si>
  <si>
    <t>CODAP-NA</t>
  </si>
  <si>
    <t>Jiang, L.-Q., Feely, R. A., Wanninkhof, R., Greeley, D., Barbero, L., Alin, S., Carter, B. R., Pierrot, D., Featherstone, C., Hooper, J., Melrose, C., Monacci, N., Sharp, J. D., Shellito, S., Xu, Y.-Y., Kozyr, A., Byrne, R. H., Cai, W.-J., Cross, J., Johnson, G. C., Hales, B., Langdon, C., Mathis, J., Salisbury, J., and Townsend, D. W.: Coastal Ocean Data Analysis Product in North America (CODAP-NA) – an internally consistent data product for discrete inorganic carbon, oxygen, and nutrients on the North American ocean margins, Earth Syst. Sci. Data, 13, 2777–2799, https://doi.org/10.5194/essd-13-2777-2021, 2021.</t>
  </si>
  <si>
    <t>Jiang et al. (2021)</t>
  </si>
  <si>
    <t>https://doi.org/10.5194/essd-13-2777-2021</t>
  </si>
  <si>
    <t>https://essd.copernicus.org/articles/13/2777/2021/essd-13-2777-2021-f01-web.png</t>
  </si>
  <si>
    <t>https://www.ncei.noaa.gov/data/oceans/ncei/ocads/metadata/0219960.html</t>
  </si>
  <si>
    <t>2003 - 2018</t>
  </si>
  <si>
    <t>Coastal ocean, Water column</t>
  </si>
  <si>
    <t>A discrete bottle based data product similar to GLODAPv2, but for the North American coastal ocean</t>
  </si>
  <si>
    <t xml:space="preserve">Jiang et al. (2021) synthesized two decades of discrete measurements of carbonate system variables, DO, and nutrient data from the North American continental shelves to generate the first version of Coastal Ocean Data Analysis Data Product in North America (CODAP-NA). The 2021 release encompasses 3,391 oceanographic profiles from 61 research cruises spanning the North American continental shelves from Alaska to Mexico in the west and from Canada to the Caribbean in the east. It includes 14 key variables, including temperature, salinity, DO, DIC, TA, pH, carbonate ion, fCO2, silicate, phosphate, nitrate. </t>
  </si>
  <si>
    <t>liqing.jiang@noaa.gov</t>
  </si>
  <si>
    <t>AZMP Carbon</t>
  </si>
  <si>
    <t>Gibb, O., Cyr, F., Azetsu-Scott, K., Chassé, J., Childs, D., Gabriel, C.-E., Galbraith, P. S., Maillet, G., Pepin, P., Punshon, S., and Starr, M.: Spatiotemporal variability in pH and carbonate parameters on the Canadian Atlantic continental shelf between 2014 and 2022, Earth Syst. Sci. Data, 15, 4127–4162, https://doi.org/10.5194/essd-15-4127-2023, 2023.</t>
  </si>
  <si>
    <t>Gibb et al. (2023)</t>
  </si>
  <si>
    <t>https://doi.org/10.5194/essd-15-4127-2023</t>
  </si>
  <si>
    <t>https://essd.copernicus.org/articles/15/4127/2023/essd-15-4127-2023-avatar-web.png</t>
  </si>
  <si>
    <t>https://doi.org/10.20383/102.0673</t>
  </si>
  <si>
    <t>A compilation of cruises from the Atlantic Zone Monitoring Program (AZMP) since 2014</t>
  </si>
  <si>
    <t xml:space="preserve">Gibb et al. (2023) compiled ocean carbonate system variables data from the Canadian Atlantic Zone Monitoring Program (AZMP Carbon) since 2014. More than 100 seagoing missions are represented in this dataset. The sampling strategy generally corresponds to full-depth water samples mostly collected along standardized hydrographic sections. Implemented in 1998, the AZMP aims to characterize and understand the causes of oceanic variability at the seasonal, interannual and decadal scales in support of, among other things, fisheries management in the Atlantic Zone (including the Gulf of St. Lawrence, the Scotian shelf and the Newfoundland and Labrador shelf). Since 2014, a minimum of two of the three following carbonate system variables, DIC, TA, and pH, are also acquired by the program at standardized hydrographic stations across the zone (sampled up to three times a year). Each measurement is completed with corresponding temperature, salinity and, when available, nutrients and DO concentration data. </t>
  </si>
  <si>
    <t>egkennedy@alaska.edu</t>
  </si>
  <si>
    <t>MOCHA</t>
  </si>
  <si>
    <t>Kennedy, E. G., Zulian, M., Hamilton, S. L., Hill, T. M., Delgado, M., Fish, C. R., Gaylord, B., Kroeker, K. J., Palmer, H. M., Ricart, A. M., Sanford, E., Spalding, A. K., Ward, M., Carrasco, G., Elliott, M., Grisby, G. V., Harris, E., Jahncke, J., Rocheleau, C. N., Westering, S., and Wilmot, M. I.: A high-resolution synthesis dataset for multistressor analyses along the US West Coast, Earth Syst. Sci. Data, 16, 219-243, https://doi.org/10.5194/essd-16-219-2024, 2024.</t>
  </si>
  <si>
    <t>Kennedy et al., 2023</t>
  </si>
  <si>
    <t>https://doi.org/10.25921/2vve-fh39</t>
  </si>
  <si>
    <t>https://i.ibb.co/XrpxsXPX/data-locs-composite-bs.png</t>
  </si>
  <si>
    <t>https://www.ncei.noaa.gov/access/metadata/landing-page/bin/iso?id=gov.noaa.nodc:0277984</t>
  </si>
  <si>
    <t>irregular, daily</t>
  </si>
  <si>
    <t>1949-2022</t>
  </si>
  <si>
    <t>Regional, Coastal ocean, Surface, Water column</t>
  </si>
  <si>
    <t>Continuous, Discrete bottle</t>
  </si>
  <si>
    <t>A compilation of cruises, autonomous sensors, and shore observations for the U.S. West Coast.</t>
  </si>
  <si>
    <t>MOCHA compiles temperature, salinity, DO, ocean carbonate system variables (DIC, TA, pH, pCO2 , fCO2 ), nutrients, and chlorophyll observations from the full water column along the U.S. west coast. This synthesis brings together 71 different sources, including high-resolution autonomous sensors, synoptic oceanographic cruises, and shoreline samples, into a single quality-controlled product that facilitates linking nearshore, high-resolution observations to broader oceanographic conditions. MOCHA spans from the shoreline to well-beyond the continental shelf and includes over 15 million observations. The MOCHA synthesis is also available as a "daily aggregated" dataset, with all data sources averaged by day, location, and depth.</t>
  </si>
  <si>
    <t>avelo@iim.csic.es</t>
  </si>
  <si>
    <t>ARIOS</t>
  </si>
  <si>
    <t>Padin, X.A., Velo, A., Pérez, F.F., 2020. ARIOS: a database for ocean acidification assessment in the Iberian upwelling system (1976–2018). Earth Syst. Sci. Data 12, 2647–2663. https://doi.org/10.5194/essd-12-2647-2020</t>
  </si>
  <si>
    <t>Padin et al. (2020)</t>
  </si>
  <si>
    <t>https://doi.org/10.5194/essd-12-2647-2020</t>
  </si>
  <si>
    <t>https://essd.copernicus.org/articles/12/2647/2020/essd-12-2647-2020-f01-web.png</t>
  </si>
  <si>
    <t>https://doi.org/10.20350/digitalCSIC/12498</t>
  </si>
  <si>
    <t>irregular, discrete</t>
  </si>
  <si>
    <t>1976-2018</t>
  </si>
  <si>
    <t>Coastal ocean, Surface, Water column, Regional</t>
  </si>
  <si>
    <t>17,653 samples from 3,343 stations measuring pH, alkalinity, and biogeochemical params off NW Iberian Peninsula (1976-2018). Data primarily from Ría de Vigo, spanning Bay of Biscay to Portuguese coast</t>
  </si>
  <si>
    <t>A data product of 17 653 discrete samples from 3343 oceanographic stations combining measurements of pH, alkalinity and other biogeochemical parameters off the northwestern Iberian Peninsula from June 1976 to September 2018 is presented in this study. The oceanography cruises funded by 24 projects were primarily carried out in the Ría de Vigo coastal inlet but also in an area ranging from the Bay of Biscay to the Portuguese coast. The robust seasonal cycles and long-term trends were only calculated along a longitudinal section, gathering data from the coastal and oceanic zone of the Iberian upwelling system. The pH in the surface waters of these separated regions, which were highly variable due to intense photosynthesis and the remineralization of organic matter, showed an interannual acidification ranging from −0.0012 to −0.0039 yr−1 that grew towards the coastline. This result is obtained despite the buffering capacity increasing in the coastal waters further inland as shown by the increase in alkalinity by 1.1±0.7 and 2.6±1.0 µmol kg−1 yr−1 in the inner and outer Ría de Vigo respectively, driven by interannual changes in the surface salinity of 0.0193±0.0056 and 0.0426±0.016 psu yr−1 respectively. The loss of the vertical salinity gradient in the long-term trend in the inner ria was consistent with other significant biogeochemical changes such as a lower oxygen concentration and fertilization of the surface waters. These findings seem to be related to a growing footprint of sediment remineralization of organic matter in the surface layer of a more homogeneous water column.</t>
  </si>
  <si>
    <t>Marine Inorganic Carbonate Chemistry in the Northern Gulf of Alaska</t>
  </si>
  <si>
    <t>Monacci, N. M., Cross, J. N., Evans, W., Mathis, J. T., and Wang, H.: A decade of marine inorganic carbon chemistry observations in the northern Gulf of Alaska – insights into an environment in transition, Earth Syst. Sci. Data, 16, 647–665, https://doi.org/10.5194/essd-16-647-2024, 2024.</t>
  </si>
  <si>
    <t>Monacci et al. (2024)</t>
  </si>
  <si>
    <t>https://doi.org/10.5194/essd-16-647-2024</t>
  </si>
  <si>
    <t>https://essd.copernicus.org/articles/16/647/2024/essd-16-647-2024-avatar-web.png</t>
  </si>
  <si>
    <t>https://www.ncei.noaa.gov/data/oceans/ncei/ocads/metadata/0277034.html</t>
  </si>
  <si>
    <t>2008 - 2017</t>
  </si>
  <si>
    <t>A synthesis of twenty cruises from 2008 to 2017 on the Gulf of Alaska (GAK) Line</t>
  </si>
  <si>
    <t>Monacci et al. (2023) compiled a data product of discrete seawater samples collected each May and September over a 10-year period from 2008 to 2017 along the long-term hydrographic line in the Gulf of Alaska (GAK Line). Samples were collected from a sampling rosette on a profiling CTD. Data variables include profiled seawater temperature, salinity, and DO. Discrete sample variables include DO (i.e., Winkler titrations), macronutrients (nitrate, nitrite, phosphate, silicic acid), DIC, and TA. All carbonate system variables were analyzed at the Ocean Acidification Research Center (OARC) at the University of Alaska Fairbanks (UAF). The repeat hydrographic cruises were funded by the Alaska Ocean Observing System (AOOS), the Exxon Valdez Oil Spill Trustee Council (EVOS), Gulf Watch Alaska, and the North Pacific Research Board (NPRB) and were mostly conducted aboard the United States Fish and Wildlife Service (USFWS) R/V Tiĝlax̂.</t>
  </si>
  <si>
    <t>nicole.besemer@noaa.gov</t>
  </si>
  <si>
    <t>Coral Reef Carbonate Chemistry Off the Florida Keys</t>
  </si>
  <si>
    <t>Palacio-Castro, A. M., Enochs, I. C., Besemer, N., Boyd, A., Jankulak, M., Kolodziej, G., et al. (2023). Coral reef carbonate chemistry reveals interannual, seasonal, and spatial impacts on ocean acidification off Florida. Global Biogeochemical Cycles, 37, e2023GB007789. https://doi.org/10.1029/2023GB007789</t>
  </si>
  <si>
    <t>Palacio-Castro et al. (2023)</t>
  </si>
  <si>
    <t>https://doi.org/10.1029/2023GB007789</t>
  </si>
  <si>
    <t>https://i.ibb.co/yc5J25Q6/gbc21508-fig-0001-m.jpg</t>
  </si>
  <si>
    <t>https://www.ncei.noaa.gov/access/metadata/landing-page/bin/iso?id=gov.noaa.nodc:NCRMP-CO3-Atlantic</t>
  </si>
  <si>
    <t>irregular, bi-monthly</t>
  </si>
  <si>
    <t>Regional, Coastal ocean, Surface</t>
  </si>
  <si>
    <t>Temporal trends of DIC, TA, pCO2, pH, Ωarag, in different areas of the Florida Keys</t>
  </si>
  <si>
    <t>Analysis of discrete seawater samples compiled from 38 permanent stations located along 10 inshore-offshore transects at the Florida Coral Reef. These samples were collected as part of NOAA's National Coral Reef Monitoring Program (NCRMP) and the South Florida Ecosystem Restoration Research (SFER) cruises.  The time-series analysis provides insight into the dynamic carbonate conditions spanning the inshore to offshore gradients, encompassing four distinct regions of the Florida Coral Reef: Biscayne Bay, the Upper Keys, Middle Keys, and Lower Keys.</t>
  </si>
  <si>
    <t>simone.r.alin@noaa.gov, janewton@uw.edu</t>
  </si>
  <si>
    <t>Salish Cruise Data Package</t>
  </si>
  <si>
    <t>Alin, S.R., J.A. Newton, R.A. Feely, B. Curry, D. Greeley, J. Herndon, and M. Warner (2024a). A decade-long cruise time-series (2008–2018) of physical and biogeochemical conditions in the southern Salish Sea, North America. Earth System Science Data, 16, 837–865, https://doi.org/10.5194/essd-16-837-2024</t>
  </si>
  <si>
    <t>Alin et al. (2025a)</t>
  </si>
  <si>
    <t>https://doi.org/10.5194/essd-16-837-2024</t>
  </si>
  <si>
    <t>https://essd.copernicus.org/articles/16/837/2024/essd-16-837-2024-avatar-web.png</t>
  </si>
  <si>
    <t>https://www.ncei.noaa.gov/access/ocean-carbon-acidification-data-system/oceans/SalishCruise_DataPackage.html</t>
  </si>
  <si>
    <t>seasonal, discrete, continuous</t>
  </si>
  <si>
    <t>2008–2024</t>
  </si>
  <si>
    <t>Coastal ocean, Estuaries, Water column</t>
  </si>
  <si>
    <t>Discrete bottle, Continuous</t>
  </si>
  <si>
    <t xml:space="preserve">A QCed compilation of cruise datasets from 2008 to 2024 in the southern Salish Sea and northern Washington coast. </t>
  </si>
  <si>
    <t xml:space="preserve">Alin et al. (2025a) compiled data from 61 individual cruise data sets that sampled marine waters of the southern Salish Sea and northern Washington coast (United States) from 2008 to 2024. Ongoing seasonal sampling occurred during April, July, and September for Puget Sound cruises has occurred since 2014 and most frequently during May and October for Sound-to-Sea cruises, which sample from Puget Sound through the Strait of Juan de Fuca to the northern Washington coast. The Salish cruise data package contains observations from a oceanographic water column profiles, with CTD sensor measurements of temperature, salinity, and oxygen; as well as discrete measurements of oxygen, nutrient, and inorganic carbonate content. </t>
  </si>
  <si>
    <t>Salish Cruise Multi-stressor Data Product</t>
  </si>
  <si>
    <t>Alin, S.R., J.A. Newton, R.A. Feely, S. Siedlecki, and D. Greeley (2024b). Seasonality and response of ocean acidification and hypoxia to major environmental anomalies in the southern Salish Sea, North America (2014–2018). Biogeosciences, 21, 1639–1673, https://doi.org/10.5194/bg-21-1639-2024</t>
  </si>
  <si>
    <t>Alin et al. (2025b)</t>
  </si>
  <si>
    <r>
      <rPr>
        <color rgb="FF1155CC"/>
        <u/>
      </rPr>
      <t>https://doi.org/10.5194/bg-21-1639-2024</t>
    </r>
  </si>
  <si>
    <t>https://bg.copernicus.org/articles/21/1639/2024/bg-21-1639-2024-avatar-web.png</t>
  </si>
  <si>
    <t>https://www.ncei.noaa.gov/access/ocean-carbon-acidification-data-system/oceans/SalishCruises_DataProduct.html</t>
  </si>
  <si>
    <t xml:space="preserve">A multi-stressor (ocean acidification, hypoxia, marine heatwaves) data product based on cruises from 2008 to 2024 in the southern Salish Sea and northern Washington coast (USA). </t>
  </si>
  <si>
    <t>Alin et al. (2025b) provides a data product including all finalized records from the Salish cruise data package that had a complete suite of measurements for CTD temperature, salinity, and oxygen, as well as discrete measurements of oxygen, nutrients, dissolved inorganic carbon, and total akalinity. This product also provides the most commonly used calculated carbonate system variables--pH (on the total scale), carbon dioxide fugacity (fCO2) and partial , Ωarag, and Ωcalc--to facilitate their use by a broader group of end users.</t>
  </si>
  <si>
    <t>ana.franco@bsc.es</t>
  </si>
  <si>
    <t>Line P Marine Carbonate Chemistry Compilation</t>
  </si>
  <si>
    <t>Franco, A. C., Ianson, D., Ross, T., Hamme, R. C., Monahan, A. H., Christian, J. R., Davelaar, M., Johnson, W. K., Miller, L. A., Robert, M., and Tortell, P. D. 2021. Anthropogenic and climatic contributions to observed carbon system trends in the northeast Pacific. Global Biogeochemical Cycles, 35(7). https://doi.org/10.1029/2020GB006829</t>
  </si>
  <si>
    <t>Franco et al., (2021)</t>
  </si>
  <si>
    <t>https://doi.org/10.1029/2020GB006829</t>
  </si>
  <si>
    <t>https://i.ibb.co/4wb5JLp1/fig1-map-francoetal2021.png</t>
  </si>
  <si>
    <t>https://www.ncei.noaa.gov/data/oceans/ncei/ocads/metadata/0234342.html</t>
  </si>
  <si>
    <t>irregular, sub-annual, discrete</t>
  </si>
  <si>
    <t>1990 - 2019</t>
  </si>
  <si>
    <t>Open ocean, Water column, Regional</t>
  </si>
  <si>
    <t>A compilation of fifty-five Line P cruises containing discrete DIC and TA profiles at five stations in the Northeast Pacific Ocean. Sampled approximately three times per year from 1990 to 2019</t>
  </si>
  <si>
    <t xml:space="preserve">This dataset contains marine carbonate system measurements collected during 55 Line P cruises from 1990 to 2019 in the subarctic Northeast Pacific. The dataset contains quality-controlled, discrete profiles of dissolved inorganic carbon (DIC), total alkalinity (TA), temperature, salinity, dissolved oxygen and nutrients. From a total of 27 hydrographic time-series stations, only the five major stations where DIC and TA are routinely sampled were included in this compilation. Cruises were conducted approximately three times per year, typically in February, May/June and August/September. Each vertical profile was individually inspected and contrasted with the whole pool of data relative to salinity, density, and oxygen to detect and flag poor quality data following the World Ocean Circulation Experiment (WOCE) quality control convention. The recommended cruise-specific adjustments from the Pacific Ocean Interior Carbon (PACIFICA) data synthesis were applied. The Line P carbonate chemistry timeseries is maintained by Fisheries and Oceans Canada and continues to the present day. Data are available and continuously updated in the Line P repository, which can be publicly accessed after generating an account at https://waterproperties.ca. </t>
  </si>
  <si>
    <t>jens.terhaar@unibe.ch</t>
  </si>
  <si>
    <t>Anthropogenic Carbon in the Arctic Ocean</t>
  </si>
  <si>
    <t>Terhaar, J., Tanhua, T., Stöven, T., Orr, J. C., and Bopp, L.: Evaluation of data‐based estimates of anthropogenic carbon in the Arctic Ocean, Journal of Geophysical Research: Oceans, 125(6), https://doi.org/10.1029/2020jc016124, 2020.</t>
  </si>
  <si>
    <t>Terhaar et al. (2020)</t>
  </si>
  <si>
    <t>https://doi.org/10.1029/2020jc016124</t>
  </si>
  <si>
    <t>https://www.seanoe.org/data/00927/103920/illustration.gif</t>
  </si>
  <si>
    <t>https://www.seanoe.org/data/00927/103920/</t>
  </si>
  <si>
    <t>climatology</t>
  </si>
  <si>
    <t>2005</t>
  </si>
  <si>
    <t>Open ocean</t>
  </si>
  <si>
    <t>Observation-based estimates of anthropogenic carbon in the Arctic Ocean</t>
  </si>
  <si>
    <t xml:space="preserve">This dataset includes anthropogenic carbon estimates in the Arctic Ocean based on measurements of transient tracers, such as CFC-12 and SF6 (Terhaar et al., 2020; Tanhua et al., 2009). Using the transient time distribution (TTD) method, anthropogenic carbon estimates were estimated at measurement locations across all basins of the Arctic Ocean between 1983 and 2005. In addition to these estimates, adjusted estimates of anthropogenic carbon at these locations are provided to account for differences in the saturation of transient tracers and anthropogenic carbon in Arctic Ocean surface waters that caused anthropogenic carbon estimates to be biased low (Terhaar et al., 2020). It is recommended to use the adjusted estimates. This dataset can be accessed at https://doi.org/10.17882/103920 (Terhaar et al., 2024).   </t>
  </si>
  <si>
    <t>nick.bates@bios.edu</t>
  </si>
  <si>
    <t>Time series</t>
  </si>
  <si>
    <t>BATS</t>
  </si>
  <si>
    <t>Bates, N., Johnson, R. J., Lomas, M. W., Smith, D., Lethaby, P. J., Bakker, R., Davey, E., Derbyshire, L., Enright, M., Garley, R., Hayden, M. G., Lomas, D., May, R., Medley, C., Stuart, E., Chambers, E. (2025) Discrete bottle samples collected at the Bermuda Atlantic Time-series Study (BATS) site in the Sargasso Sea from October 1988 through December 2024. Biological and Chemical Oceanography Data Management Office (BCO-DMO). (Version 8) Version Date 2025-06-27 [if applicable, indicate subset used]. doi:10.26008/1912/bco-dmo.3782.8 [access date];&lt;/br&gt;&lt;/br&gt;Bates, N., and Johnson, R.J., 2023. Forty years of ocean acidification observations (1983-2023) in the Sargasso Sea at the Bermuda Atlantic Time-series Study (BATS) site. Frontiers in Marine Science, 10, https://doi.org/10.3389/fmars.2023.1289931.</t>
  </si>
  <si>
    <t>Bates and Johnson (2023)</t>
  </si>
  <si>
    <t>https://doi.org/10.3389/fmars.2023.1289931</t>
  </si>
  <si>
    <t>https://www.frontiersin.org/files/Articles/1289931/fmars-10-1289931-HTML-r1/image_m/fmars-10-1289931-g001.jpg</t>
  </si>
  <si>
    <t>https://www.bco-dmo.org/project/2124</t>
  </si>
  <si>
    <t>monthly</t>
  </si>
  <si>
    <t>1988-2025</t>
  </si>
  <si>
    <t xml:space="preserve">Forty years of ocean acidification observations (1983-2023) in the Sargasso Sea at the Bermuda Atlantic Time-series Study (BATS) site. </t>
  </si>
  <si>
    <t>Ocean physical and biogeochemical conditions are rapidly changing over time. Forty years of observations from 1983 to 2023 collected at the Bermuda Atlantic Time-series Study (BATS) site near Bermuda in the North Atlantic Ocean shows continuing trends of surface warming, increase in salinity, loss of dissolved oxygen (DO), increase in carbon dioxide (CO2), and ocean acidification (OA) effects. Over this period, the ocean has warmed by about +1°C, increased in salinity by +0.136, and lost DO by 12.5 µmol kg−1 or ~6%. Since the 1980s, ocean dissolved inorganic carbon (DIC), total alkalinity (TA), a tracer of anthropogenic CO2 (CTrOCA), and fugacities/partial pressures of CO2 (i.e., fCO2 and pCO2) have continued to increase substantially, with no evidence of a reduction in the rates of change over time. Contemporaneously, ocean pH has decreased by ~0.1 pH units [with ocean acidity (i.e., H+) increasing by &gt;30%], and the saturation states of calcium carbonate minerals (Ωcalcite and Ωaragonite) have decreased. These OA indicators show that the chemical conditions for calcification have become less favorable over the past 40 years. Updating of data and trends at the BATS site show how ocean chemistry of the 2020s is now outside the range observed in the 1980s, and how essential these data are for predicting the response of ocean chemistry and marine ecosystems to future shifting earth and ocean conditions.</t>
  </si>
  <si>
    <t>jdore@montana.edu</t>
  </si>
  <si>
    <t>HOT</t>
  </si>
  <si>
    <t>Dore, J. E., Lukas, R., Sadler, D. W., Church, M. J., and Karl, D. M.: Physical and biogeochemical modulation of ocean acidification in the central North Pacific, Proc. Natl. Acad. Sci., 106, 12235-12240, https://doi.org/10.1073/pnas.0906044106, 2009.</t>
  </si>
  <si>
    <t>Dore et al. (2009)</t>
  </si>
  <si>
    <t>https://doi.org/10.1073/pnas.0906044106</t>
  </si>
  <si>
    <t>https://i.ibb.co/B2vPqjyw/HOTlogo.jpg</t>
  </si>
  <si>
    <t>https://doi.org/10.1575/1912/bco-dmo.3773.1</t>
  </si>
  <si>
    <t>35+ years of inorganic carbon dynamics in the open waters of the central North Pacific</t>
  </si>
  <si>
    <t>The Hawaii Ocean Time-series (HOT) CO2 measurement program documents 35+ years of inorganic carbon dynamics in the open waters of the central North Pacific. Since October 1988, full ocean depth profiles of DIC and TA have been analyzed, and direct measurements of pH have been made over most of this longest-running Pacific Ocean time-series study. The program is based on shipboard observations and experiments conducted on ~10 expeditions per annum to Station ALOHA (22.75°N, 158°W).</t>
  </si>
  <si>
    <t>ESTOC</t>
  </si>
  <si>
    <t>González-Dávila, M. and Santana-Casiano J. M.: Long-term trends of pH and inorganic carbon in the Eastern North Atlantic: the ESTOC site, Front. Mar. Sci., 10, 1236214, https://doi.org/10.3389/fmars.2023.1236214, 2023.</t>
  </si>
  <si>
    <t>González-Dávila and Santana-Casiano (2023)</t>
  </si>
  <si>
    <t>https://doi.org/10.3389/fmars.2023.1236214</t>
  </si>
  <si>
    <t>https://www.frontiersin.org/files/Articles/1236214/fmars-10-1236214-HTML-r1/image_m/fmars-10-1236214-g001.jpg</t>
  </si>
  <si>
    <t>https://doi.org/10.1594/PANGAEA.959856</t>
  </si>
  <si>
    <t>The longest continuous monthly record of warming, rising carbon dioxide levels, and OA in the eastern North Atlantic</t>
  </si>
  <si>
    <t xml:space="preserve">The European Station for Time-series in the Ocean (ESTOC) began carbon dioxide monitoring in October 1995, providing a 30-year record on DIC, TA, and pH. This dataset represents the longest continuous monthly record of warming, rising carbon dioxide levels, and acidification in the eastern North Atlantic (González-Dávila and Santana-Casiano, 2023). ESTOC is located 100 km north of the Canary Islands archipelago (https://plocan.eu/en/installations/ocean-observatory). The program includes a ship-based observation system, measuring physical, chemical, and biological variables throughout the 3,670-meter water column. It also features a moored platform for surface meteorological and oceanic observations as well as subsurface measurements, maintained by the Canary Island Oceanic Platform (PLOCAN, https://plocan.eu/en) and the University of Las Palmas de Gran Canaria (https://iocag.ulpgc.es/research/research-units/quima). Carbonate system measurements include full-depth bottle sampling for photometric pH, TA, and DIC, conducted monthly from 1995 to 2008, every two months until 2018, and semiannually in recent years due to limited ship time, timed to coincide with moored structure maintenance. ESTOC is also visited every two weeks by a volunteer observing ship, ES-SOOP-CanOA (https://meta.icos-cp.eu/resources/stations/OS_687B), part of the European Research Infrastructure ICOS (https://www.icos-cp.eu/observations/ocean/stations), which provides real-time surface data on carbon dioxide fluxes and OA. The program also includes the CO2-ESTOC oceanographic buoy (https://meta.icos-cp.eu/labeling/). </t>
  </si>
  <si>
    <t>Point B Time-series</t>
  </si>
  <si>
    <t xml:space="preserve">Kapsenberg, L., Alliouane, S., Gazeau, F., Mousseau, L., and Gattuso, J.-P.: Coastal ocean acidification and increasing total alkalinity in the northwestern Mediterranean Sea, Ocean Sci., 13, 411–426, https://doi.org/10.5194/os-13-411-2017, 2017.  </t>
  </si>
  <si>
    <t>Kapsenberg et al. (2017)</t>
  </si>
  <si>
    <t>https://doi.org/10.5194/os-13-411-2017</t>
  </si>
  <si>
    <r>
      <rPr>
        <color rgb="FF1155CC"/>
        <u/>
      </rPr>
      <t>https://i.ibb.co/8gK4B2BP/Point-B.png</t>
    </r>
  </si>
  <si>
    <t xml:space="preserve">https://doi.org/10.1594/PANGAEA.727120 </t>
  </si>
  <si>
    <t>Coastal ocean</t>
  </si>
  <si>
    <t>Carbonate chemistry at a coastal site of the Bay of Villefranche, France</t>
  </si>
  <si>
    <t xml:space="preserve">The Point B Time-series documents the carbonate chemistry at a coastal site of the Bay of Villefranche (43.686200N 7.314800E) in Villefranche-sur-mer, France, northwestern Mediterranean Sea. Since January 2007, seawater is sampled weekly at 1 and 50 m, and analyzed for DIC and TA. Salinity and temperature are extracted from CTD profiles. Variables of the carbonate system such as pH (total scale) are calculated using the R package seacarb. </t>
  </si>
  <si>
    <t>Ny-Ålesund Time-series</t>
  </si>
  <si>
    <t xml:space="preserve">Gattuso, J.-P., Alliouane, S., and Fischer, P.: High-frequency, year-round time series of the carbonate chemistry in a high-Arctic fjord (Svalbard), Earth Syst. Sci. Data, 15, 2809–2825, https://doi.org/10.5194/essd-15-2809-2023, 2023. </t>
  </si>
  <si>
    <t>Gattuso et al. (2023)</t>
  </si>
  <si>
    <t>https://doi.org/10.5194/essd-15-2809-2023</t>
  </si>
  <si>
    <t>https://essd.copernicus.org/articles/15/2809/2023/essd-15-2809-2023-avatar-web.png</t>
  </si>
  <si>
    <t>https://doi.org//10.1594/PANGAEA.957028</t>
  </si>
  <si>
    <t>continuous, discrete</t>
  </si>
  <si>
    <t>Carbonate chemistry at a coastal site of Kongsfjorden, Spitsbergen</t>
  </si>
  <si>
    <t xml:space="preserve">The Ny-Ålesund Time-series documents the carbonate chemistry at a coastal site of Kongsfjorden, Spitsbergen (78.930660N 11.920030E) during the period 2015-2021. It is the first high-frequency (1 hour), multi-year (6 years) dataset of salinity, temperature, pCO2, pH, as well as calculated DIC and TA in the High-Arctic Ocean (Gattuso et al., 2023). </t>
  </si>
  <si>
    <t>nlan@norceresearch.no</t>
  </si>
  <si>
    <t>SPOTS</t>
  </si>
  <si>
    <t>Lange, N., Fiedler, B., Álvarez, M., Benoit-Cattin, A., Benway, H., Buttigieg, P. L., Coppola, L., Currie, K., Flecha, S., Gerlach, D. S., Honda, M., Huertas, I. E., Lauvset, S. K., Muller-Karger, F., Körtzinger, A., O'Brien, K. M., Ólafsdóttir, S. R., Pacheco, F. C., Rueda-Roa, D., Skjelvan, I., Wakita, M., White, A., and Tanhua, T.: Synthesis Product for Ocean Time Series (SPOTS) – a ship-based biogeochemical pilot, Earth Syst. Sci. Data, 16, 1901–1931, https://doi.org/10.5194/essd-16-1901-2024, 2024.</t>
  </si>
  <si>
    <t>Lange et al., (2024)</t>
  </si>
  <si>
    <t>https://doi.org/10.5194/essd-16-1901-2024</t>
  </si>
  <si>
    <t>https://i.ibb.co/qYM6NNbv/Logo.png</t>
  </si>
  <si>
    <t>https://www.bco-dmo.org/dataset/896862</t>
  </si>
  <si>
    <t>1983 - 2021</t>
  </si>
  <si>
    <t>Open ocean, Coastal ocean, Water column</t>
  </si>
  <si>
    <t>The pilot includes biogeochemical data from 12 fixed ship-based time-series programs</t>
  </si>
  <si>
    <t>The Synthesis Product for Ocean Time-Series (SPOTS) is a ship-based biogeochemical pilot, aiming at regularly providing high quality data from fixed time-series stations with consistent format and semantics (Lange et al., 2024a). The pilot includes data from 12 fixed ship-based time-series programs with a focus on the Global Ocean Observing System’s biogeochemical essential ocean variables. These stations represent unique marine environments across a variety of spatiotemporal resolutions and ranges, with data from 1983 to 2021.</t>
  </si>
  <si>
    <t>pCO2 and pH Time-series from 40 Surface Buoys</t>
  </si>
  <si>
    <t>Sutton, A. J., Feely, R. A., Maenner-Jones, S., Musielwicz, S., Osborne, J., Dietrich, C., Monacci, N., Cross, J., Bott, R., Kozyr, A., Andersson, A. J., Bates, N. R., Cai, W.-J., Cronin, M. F., De Carlo, E. H., Hales, B., Howden, S. D., Lee, C. M., Manzello, D. P., McPhaden, M. J., Meléndez, M., Mickett, J. B., Newton, J. A., Noakes, S. E., Noh, J. H., Olafsdottir, S. R., Salisbury, J. E., Send, U., Trull, T. W., Vandemark, D. C., and Weller, R. A.: Autonomous seawater pCO2 and pH time series from 40 surface buoys and the emergence of anthropogenic trends, Earth Syst. Sci. Data, 11, 421–439, https://doi.org/10.5194/essd-11-421-2019, 2019.</t>
  </si>
  <si>
    <t>Sutton et al. (2019)</t>
  </si>
  <si>
    <t>https://doi.org/10.5194/essd-11-421-2019</t>
  </si>
  <si>
    <t>https://essd.copernicus.org/articles/11/421/2019/essd-11-421-2019-avatar-web.png</t>
  </si>
  <si>
    <t>https://www.ncei.noaa.gov/access/ocean-carbon-acidification-data-system/oceans/Moorings/ndp097.html</t>
  </si>
  <si>
    <t>Based on 40 moored surface pCO2 time-series, with 17 of them containing pH</t>
  </si>
  <si>
    <t xml:space="preserve">Sutton et al. (2019) established a living dataset comprising 40 individual autonomous moored surface ocean pCO2 time-series established between 2004 and 2013, 17 of them also include autonomous pH measurements. These time-series characterize a wide range of surface ocean carbonate system conditions, across a variety of environments, including 17 oceanic and 13 coastal locations, as well as 10 coral reefs. </t>
  </si>
  <si>
    <t>sebastien.petton@ifremer.fr</t>
  </si>
  <si>
    <t>French coastal carbonate time-series</t>
  </si>
  <si>
    <t>Petton, S., Pernet, F., Le Roy, V., Huber, M., Martin, S., Macé, É., Bozec, Y., Loisel, S., Rimmelin-Maury, P., Grossteffan, É., Repecaud, M., Quemener, L., Retho, M., Manac'h, S., Papin, M., Pineau, P., Lacoue-Labarthe, T., Deborde, J., Costes, L., Polsenaere, P., Rigouin, L., Benhamou, J., Gouriou, L., Lequeux, J., Labourdette, N., Savoye, N., Messiaen, G., Foucault, E., Ouisse, V., Richard, M., Lagarde, F., Voron, F., Kempf, V., Mas, S., Giannecchini, L., Vidussi, F., Mostajir, B., Leredde, Y., Alliouane, S., Gattuso, J.-P., and Gazeau, F.: French coastal network for carbonate system monitoring: the CocoriCO2 dataset, Earth Syst. Sci. Data, 16, 1667–1688, https://doi.org/10.5194/essd-16-1667-2024, 2024.</t>
  </si>
  <si>
    <t>Petton et al. (2022)</t>
  </si>
  <si>
    <t>https://doi.org/10.5194/essd-16-1667-2024</t>
  </si>
  <si>
    <t>https://i.ibb.co/67Qd9xr3/Fig6-Suivi-Cocori-CO2-p-H.png</t>
  </si>
  <si>
    <t>https://doi.org/10.17882/96982</t>
  </si>
  <si>
    <t>daily, monthly, discrete</t>
  </si>
  <si>
    <t>2021 - 2025</t>
  </si>
  <si>
    <t>Coastal ocean, Estuaries</t>
  </si>
  <si>
    <t>High-frequency pH and biweekly carbonate chemistry monitoring at six strategic shellfish production sites along the French Atlantic and Mediterranean coasts.</t>
  </si>
  <si>
    <t>Petton et al. (2023a) present a dataset generated by the CocoriCO2 project, launched in 2021 to monitor acidification across French coastal waters. This network relies on six strategic sites for shellfish farming (Atlantic and Mediterranean), where autonomous sensors record high-frequency pH (every 15 min) alongside biweekly monitoring of total alkalinity and dissolved inorganic carbon. Spanning over two years, these time-series reveal significant variability in the carbonate system driven by freshwater inputs, tides, and biological processes, contrasting with the relative stability of the open ocean.</t>
  </si>
  <si>
    <t>afay@ldeo.columbia.edu</t>
  </si>
  <si>
    <t>Gridded surface</t>
  </si>
  <si>
    <t>Takahashi ΔfCO2 &amp; Flux Climatology</t>
  </si>
  <si>
    <t>Fay, A. R., Munro, D. R., McKinley, G. A., Pierrot, D., Sutherland, S. C., Sweeney, C., and Wanninkhof, R. 2024. Updated climatological mean ΔfCO2 and net sea–air CO2 flux over the global open ocean regions, Earth Syst. Sci. Data, 16, 2123–2139, https://doi.org/10.5194/essd-16-2123-2024.</t>
  </si>
  <si>
    <t>Fay et al. (2024)</t>
  </si>
  <si>
    <t>https://doi.org/10.5194/essd-16-2123-2024</t>
  </si>
  <si>
    <t>https://essd.copernicus.org/articles/16/2123/2024/essd-16-2123-2024-avatar-web.png</t>
  </si>
  <si>
    <t>https://doi.org/10.25921/295g-sn13</t>
  </si>
  <si>
    <t>1° x 1°</t>
  </si>
  <si>
    <t>2010</t>
  </si>
  <si>
    <t>Does not use proxy variables for extrapolation. Only produced as monthly climatology.</t>
  </si>
  <si>
    <t>Following on previous climatologies published by the late Taro Takahashi in 1997 and 2009, Fay et al. (2024) created a legacy climatology using his methodology and the updated SOCAT database of observations. This product provides 12 months of delta fCO2 values and corresponding fluxes for a base year of 2010 at 4° × 5° resolution subsequently subgridded
to 1° × 1° resolution and near-global coverage. This climatology represents the mean of ocean conditions over the last four decades and is distinctive relative to many other mechanistic machine learning approaches in that it interpolates in time and space using only the available fCO2 data and a surface water advection scheme rather than using proxy variables for gap filling. It uses the median of observations to determine a reference year of 2010 and fluxes are provided using air-sea partial pressure differences and inputs from the SeaFlux product (Fay et al., 2021).</t>
  </si>
  <si>
    <t>MPI-ULB-SOM-FFN</t>
  </si>
  <si>
    <t xml:space="preserve">Landschützer, P., Laruelle, G. G., Roobaert, A., and Regnier, P.: A uniform pCO2 climatology combining open and coastal oceans, Earth Syst. Sci. Data, 12, 2537–2553, https://doi.org/10.5194/essd-12-2537-2020, 2020. </t>
  </si>
  <si>
    <t xml:space="preserve">Landschützer et al. (2020) </t>
  </si>
  <si>
    <t>https://doi.org/10.5194/essd-12-2537-2020</t>
  </si>
  <si>
    <t>https://essd.copernicus.org/articles/12/2537/2020/essd-12-2537-2020-avatar-web.png</t>
  </si>
  <si>
    <t>https://www.ncei.noaa.gov/access/ocean-carbon-acidification-data-system/oceans/MPI-ULB-SOM_FFN_clim.html</t>
  </si>
  <si>
    <t>0.25° x 0.25°</t>
  </si>
  <si>
    <t>monthly, climatology</t>
  </si>
  <si>
    <t xml:space="preserve">Monthly gridded pCO2 without adjusting for a specific reference year, high-resolution coastal ocean coverage. </t>
  </si>
  <si>
    <t xml:space="preserve">Landschützer et al. (2020a) created a uniform pCO2 climatology combining open and coastal oceans. It is a monthly gridded global surface ocean pCO2 data product without adjusting for a specific reference year. Developed on a higher-resolution 0.25° × 0.25° global surface-ocean grid, this product is the result of combining two neural network-based pCO2 products: the open ocean product described below (i.e., Landschützer et al., 2016) and the coastal product created by Laruelle et al. (2017). Consequently, it represents coastal zones better. Data collected between 1998 and 2015 from the SOCAT database (Version 5) were used to create this data product. </t>
  </si>
  <si>
    <t>VLIZ-SOM-FFN</t>
  </si>
  <si>
    <t xml:space="preserve">Landschützer, P., Gruber, N., and Bakker, D. C. E.: Decadal variations and trends of the Global Ocean Carbon Sink, Global Biogeochemical Cycles, 30(10), 1396–1417. https://doi.org/10.1002/2015gb005359, 2016. </t>
  </si>
  <si>
    <t xml:space="preserve">Landschützer et al. (2016) </t>
  </si>
  <si>
    <t>https://doi.org/10.1002/2015gb005359</t>
  </si>
  <si>
    <t>https://www.ncei.noaa.gov/data/oceans/archive/arc0105/0160558/8.8/about/0160558_preview.png</t>
  </si>
  <si>
    <t>https://www.ncei.noaa.gov/data/oceans/ncei/ocads/metadata/0160558.html</t>
  </si>
  <si>
    <t>1982 - 2025</t>
  </si>
  <si>
    <t>Monthly gridded pCO2 from 1982 through near present</t>
  </si>
  <si>
    <t xml:space="preserve">Landschützer et al. (2016) employed the Self-Organizing-Map Feed-Forward Network (SOM-FFN) neural network method (Landschützer et al., 2013) to map sea surface pCO2 from SOCAT (see No. 1 above) (Bakker et al., 2014) to generate monthly pCO2 fields on a 1° × 1° global surface ocean grid, covering the period from 1982 to near present. It is based on the gridded pCO2 measurements from SOCAT and is updated regularly. The creation of the pCO2 fields involve a two-step neural network approach, which has been extensively detailed and validated in previous works by Landschützer et al. (2013, 2014, 2016). In the initial step, the global ocean is clustered into biogeochemical provinces, and subsequently, the non-linear relationship between CO2 driver variables and gridded data from SOCAT (Bakker et al., 2016) is reconstructed. Air-sea CO2 fluxes are also computed based on the air-sea pCO2 difference, utilizing a bulk gas transfer formulation as described by Landschützer et al. (2013, 2014, 2016). </t>
  </si>
  <si>
    <t>iida-ysk@met.kishou.go.jp</t>
  </si>
  <si>
    <t>JMA-MLR</t>
  </si>
  <si>
    <t>Iida, Y., Takatani, Y., Kojima, A., and Ishii, M. 2021. Global trends of ocean CO2 sink and ocean acidification: An obsevation-based reconstruction of surface ocean inorganic carbon variables, J. Oceanogr. 77, 323-358, https://doi.org/10.1007/s10872-020-00571-5</t>
  </si>
  <si>
    <t>Iida et al. (2021)</t>
  </si>
  <si>
    <t>https://doi.org/10.1007/s10872-020-00571-5</t>
  </si>
  <si>
    <t>https://www.data.jma.go.jp/kaiyou/data/db/mar_env/results/co2_flux/animation/fluxmap_fig/flux_2023MN.png</t>
  </si>
  <si>
    <t>1990-2023</t>
  </si>
  <si>
    <t>Temporal trends of DIC, TA, pCO2, air-sea CO2 flux, pH, and Ωarag.</t>
  </si>
  <si>
    <t>Iida et al. (2021) developed a monthly data product for inorganic carbonate variables on a 1° × 1° global surface ocean grid for the period 1993?2018. Variables include DIC, TA, pCO2, sea-air CO2 flux, pH, and Ωarag. They leveraged data products such as SOCAT.v2019 (Bakker et al., 2016) and GLODAPv2.2019 (Olsen et al., 2019), as well as satellite-based variables, including sea-surface dynamic height (SSDH), mixed layer depth (MLD), and chlorophyll-a. The product is updated annually using the latest SOCAT and GLODAPv2 data.</t>
  </si>
  <si>
    <t>gregorl@ethz.ch</t>
  </si>
  <si>
    <t>OceanSODA-ETHZv1</t>
  </si>
  <si>
    <t>Gregor, L.; Gruber, N. OceanSODA-ETHZ: A Global Gridded Data Set of the Surface Ocean Carbonate System for Seasonal to Decadal Studies of Ocean Acidification. Earth System Science Data 2021, 13 (2), 777–808. https://doi.org/10.5194/essd-13-777-2021.</t>
  </si>
  <si>
    <t>Gregor and Gruber (2021)</t>
  </si>
  <si>
    <t>https://doi.org/10.5194/essd-13-777-2021</t>
  </si>
  <si>
    <t>https://essd.copernicus.org/articles/13/777/2021/essd-13-777-2021-avatar-web.png</t>
  </si>
  <si>
    <t>https://www.ncei.noaa.gov/data/oceans/ncei/ocads/metadata/0220059.html</t>
  </si>
  <si>
    <t>1982 - 2022</t>
  </si>
  <si>
    <t>Temporal trends of DIC, TA, pCO2, pH, Ωarag, and Ωcalc</t>
  </si>
  <si>
    <t>A monthly gridded global surface ocean data product for multiple ocean carbonate system variables, including DIC, TA, pCO2, pH (total scale), Ωarag, and Ωcalc (Gregor and Gruber, 2020; Gregor and Gruber, 2021; Gregor and Gruber, 2023; Ma et al., 2023). This dataset is structured on a 1°×1° global surface ocean grid with monthly resolution from 1982–2022, facilitating research on OA over seasonal to decadal scales. The OceanSODA-ETHZ data product was created by extrapolating in time and space the surface ocean observations of fCO2 from SOCATv2022 (Bakker et al., 2016) and TA from GLODAPv2.2022 using the newly developed Geospatial Random Cluster Ensemble Regression (GRaCER) method (Gregor, 2021). TA and pCO2 were then used to calculate the remaining variables of the marine carbonate system with the PyCO2SYS software (Humphreys et al., 2022). Phosphate and silicate from WOA 2018 product were used (Boyer et al., 2018; Garcia et al., 2018a).</t>
  </si>
  <si>
    <t>OceanSODA-ETHZv2</t>
  </si>
  <si>
    <t>Gregor, L.; Shutler, J.; Gruber, N. High-Resolution Variability of the Ocean Carbon Sink. Global Biogeochemical Cycles 2024, 38 (8), e2024GB008127. https://doi.org/10.1029/2024GB008127.</t>
  </si>
  <si>
    <t>Gregor et al. (2024)</t>
  </si>
  <si>
    <t>https://doi.org/10.1029/2024GB008127</t>
  </si>
  <si>
    <t>https://i.ibb.co/9mHfTX1H/gbc21584-fig-0007-m.jpg</t>
  </si>
  <si>
    <t>https://zenodo.org/records/11206366</t>
  </si>
  <si>
    <t>8-day</t>
  </si>
  <si>
    <t>1982 - 2023</t>
  </si>
  <si>
    <t>Highlighting fine-scale and short-term variability of the ocean carbon sink</t>
  </si>
  <si>
    <t>A surface fCO₂ product with a 0.25° × 0.25° spatial resolution and an 8-day temporal resolution, providing estimates starting from 1982 (Gregor et al., 2024a; Gregor et al., 2024b). The high-resolution outputs are suitable for investigating the shorter- and finer-scale dynamics of surface fCO2. Despite sharing a name with its predecessor, OceanSODA-ETHZv2 does not provide TA estimates and employs a different methodology, as described in the following steps: 1) The atmospheric trend of CO2 is removed by subtracting marine boundary layer CO2 concentrations from SOCAT fCO2 producing a new target ∆*CO2 to reduce the biases at the start and end of the time-series. 2) An 8-day seasonal climatology of ∆*CO2 is estimated using Gradient Boosted Decision Trees (GBDT), which is later used as a predictor. 3) The non-seasonal thermal component is removed from ∆*CO2, resulting in a new target, ∆*CO2nonT. 4) The new target is estimated using a feed-forward neural network, with the GBDT as one of the forcing variables. 5) Steps 4 through to 1 are inverted to arrive at fCO2. 6) Air-sea CO2 fluxes are computed using ERA5 winds.</t>
  </si>
  <si>
    <t>LDEO-HPD fCO2</t>
  </si>
  <si>
    <t xml:space="preserve">Gloege, L., Yan, M., Zheng, T., and McKinley, G. A.: Improved quantification of ocean carbon uptake by using machine learning to merge global models and pCO2 data, Journal of Advances in Modeling Earth Systems, 14(2),  https://doi.org/10.1029/2021ms002620, 2022. </t>
  </si>
  <si>
    <t>Gloege et al. (2022)</t>
  </si>
  <si>
    <t>https://doi.org/10.1029/2021ms002620</t>
  </si>
  <si>
    <t>https://i.ibb.co/pBXT90wP/jame21511-fig-0001-m.jpg</t>
  </si>
  <si>
    <t>https://zenodo.org/records/4760205</t>
  </si>
  <si>
    <t>1982-2018</t>
  </si>
  <si>
    <t>Temporal evolution of surface ocean fCO2 and air–sea CO2 exchange</t>
  </si>
  <si>
    <t xml:space="preserve">The LDEO Hybrid Physics Data (LDEO-HPD) estimates the temporal evolution of surface ocean fCO2 and air–sea CO2 exchange, utilizing the strengths of observations and global ocean biogeochemical models (GOBMs) (Gloege et al., 2022). GOBMs are internally consistent, mechanistic representations of the ocean circulation and carbon cycle, and have long been the standard for making spatiotemporally resolved estimates of air–sea CO2 fluxes. However, there is often a bias between the modeled fCO2 and available surface ocean measurements (Fay and McKinley 2021). The LDEO-HPD approach trains an eXtreme Gradient Boosting (XGB) algorithm to learn a non-linear relationship between model-data fCO2 mismatch and observed predictor variables: sea surface temperature (SST), sea surface salinity (SSS), chlorophyll concentration, mixed layer depth). The GOBM fCO2 is then corrected with the predicted model-data misfit to estimate real-world fCO2 for the observation period (Gloege et al., 2022). This results in reconstructed monthly surface ocean fCO2 and air–sea CO2 fluxes on a 1° × 1° grid in the open ocean beginning in 1982. </t>
  </si>
  <si>
    <t>LDEO-HPD fCO2, with Extended Temporal Coverage</t>
  </si>
  <si>
    <t>Gloege, L., Yan, M., Zheng, T. and McKinley, G. A.: Improved quantification of ocean carbon uptake by using machine learning to merge global models and pCO2 data, Journal of Advances in Modeling Earth Systems, 14(2), https://doi.org/10.1029/2021MS002620, 2022; &lt;/br&gt;&lt;/br&gt;Bennington, V., Gloege, L., and McKinley, G. A.: Variability in the global ocean carbon sink from 1959 to 2020 by correcting models with observations, Geophysical Research Letters, 49(14), https://doi.org/10.1029/2022GL098632, 2022</t>
  </si>
  <si>
    <t>Gloege et al. (2022), Bennington et al. (2022)</t>
  </si>
  <si>
    <t>https://doi.org/10.1029/2022GL098632</t>
  </si>
  <si>
    <t>https://zenodo.org/records/13891722</t>
  </si>
  <si>
    <t>1959-2023</t>
  </si>
  <si>
    <t>LDEO-HPD uses model-data misfit climatology to extend estimate back in time to 1959</t>
  </si>
  <si>
    <t>LDEO-HPD with Extended Temporal Coverage builds on the work of Gloege et al. (2022), the LDEO-HPD product, extending the timeseries back in time to predict fCO2 for all available model years. Bennington et al. (2022) find that the largest component of the GOBM corrections is climatological. The smaller corrections at other timescales suggest either that these are well captured by the GOBMs or the data are insufficient. The dominance of climatological corrections supports the extension of the LDEO-HPD fCO2 product backwards in time. A climatology of model-observation misfits for the best-observed period (2000–present) is applied to the GOBMs for 1959–1981, while an inter-annually varying correction is used for 1982 onward. (Bennington et al., 2022a). This results in reconstructed monthly surface ocean fCO2 and air–sea CO2 fluxes on a 1° × 1° grid covering the open ocean, beginning in 1959.</t>
  </si>
  <si>
    <t>LDEO fCO2 - Residual Method</t>
  </si>
  <si>
    <t>Bennington, V., Galjanic, T., &amp; McKinley, G. A. (2022). Explicit physical knowledge in machine learning for ocean carbon flux reconstruction: The pCO2-Residual method. Journal of Advances in Modeling Earth Systems, 14, e2021MS002960. https://doi. org/10.1029/2021MS002960</t>
  </si>
  <si>
    <t>Bennington et al. (2022)</t>
  </si>
  <si>
    <t>https://doi.org/10.1029/2021MS002960</t>
  </si>
  <si>
    <t>https://i.ibb.co/xSw1HkMf/jame21703-fig-0001-m.jpg</t>
  </si>
  <si>
    <t>https://zenodo.org/records/13941548</t>
  </si>
  <si>
    <t>1982-2023</t>
  </si>
  <si>
    <t>Removes the temperature component before Machine Learning</t>
  </si>
  <si>
    <t>LDEO fCO2 - Residual Method estimates full-coverage fCO2 by training a machine learning algorithm on sparse in situ fCO2 data and associated physical and biogeochemical observations. While these associated variables have well-known relationships to fCO2 , it is often unclear how they mechanistically drive fCO2 around the world. The LDEO fCO2 -Residual method takes the basic approach and enhances connections between physical understanding and reconstructed fCO2 . The novel approach used here includes applying pre-processing to the fCO2 data to remove the direct effect of temperature – a relationship well-documented in literature and lab experiments. This enhances the biogeochemical/physical component of fCO2 in the target variable (now fCO2 -Residual) and reduces the complexity that the machine learning must disentangle. The resulting algorithm has physically understandable connections between input data and the output biogeochemical/physical component of fCO2. This results in reconstructed monthly surface ocean fCO2 and air–sea CO2 fluxes on a 1° × 1° grid covering the open ocean, beginning in 1982 and extended to the most recent year of available data.</t>
  </si>
  <si>
    <t>CMEMS-LSCEv1</t>
  </si>
  <si>
    <t>Chau, T.-T.-T., Gehlen, M., and Chevallier, F.: A seamless ensemble-based reconstruction of surface ocean pCO2 and air–sea CO2 fluxes over the global coastal and open oceans. Biogeosciences, 19(4), 1087–1109,  https://doi.org/10.5194/bg-19-1087-2022, 2022.</t>
  </si>
  <si>
    <t>Chau et al. (2022)</t>
  </si>
  <si>
    <t>https://doi.org/10.5194/bg-19-1087-2022</t>
  </si>
  <si>
    <t>https://bg.copernicus.org/articles/19/1087/2022/bg-19-1087-2022-avatar-web.png</t>
  </si>
  <si>
    <t>https://data.ipsl.fr/catalog/srv/eng/catalog.search#/metadata/a2f0891b-763a-49e9-af1b-78ed78b16982</t>
  </si>
  <si>
    <t>1985 - 2019</t>
  </si>
  <si>
    <t>seamless reconstruction from coastal to open ocean</t>
  </si>
  <si>
    <t xml:space="preserve">Monthly surface ocean pCO2 and air–sea CO2 fluxes on a 1° × 1° grid in both the open ocean and coastal seas from 1985–2019 were reconstructed by Chau et al., (2022). CMEMS-LSCE is short for Copernicus Marine Environment Monitoring Service - Laboratoire des Sciences du Climat et de l’Environnement. This product is generated from an ensemble-based reconstruction of pCO2 maps trained with gridded data from SOCATv2020 (Bakker et al., 2016). Sea-surface pCO2 values (converted from the original fCO2 values in SOCATv2020) were regressed against a set of predictors with non-linear functions, i.e., feed-forward neural network (FFNN) models. The predictors include: sea-surface height (SSH), SST, SSS, MLD, chlorophyll a (Chl-a), atmospheric CO2 mole fraction (xCO2), and geographical coordinates (longitudes and latitudes). </t>
  </si>
  <si>
    <t>CMEMS-LSCEv2</t>
  </si>
  <si>
    <t xml:space="preserve">Chau, T.-T.-T., Gehlen, M., Metzl, N., and Chevallier, F.: CMEMS-LSCE: a global, 0.25°, monthly reconstruction of the surface ocean carbonate system, Earth Syst. Sci. Data, 16, 121–160, https://doi.org/10.5194/essd-16-121-2024, 2024. </t>
  </si>
  <si>
    <t>Chau et al. (2024)</t>
  </si>
  <si>
    <t>https://doi.org/10.5194/essd-16-121-2024</t>
  </si>
  <si>
    <t>https://essd.copernicus.org/articles/16/121/2024/essd-16-121-2024-avatar-web.png</t>
  </si>
  <si>
    <t>https://doi.org/10.48670/moi-00047</t>
  </si>
  <si>
    <t>1985 - 2025</t>
  </si>
  <si>
    <t>Yearly extension of time-series &amp; monthly reconstruction at low latency</t>
  </si>
  <si>
    <t xml:space="preserve">CMEMS-LSCEv2 corresponds to the latest version of the CMEMS-LSCE FFNN. It uses the same ensemble-based reconstruction method for pCO2 maps as CMEMS-LSCEv1.  Improvements include downscaling the spatial resolution to 0.25° × 0.25° and reproducing additional surface ocean carbonate system variables on a global grid from 1985 onwards (Chau et al., 2024a). The additional surface ocean carbonate system variables are: pCO2, DIC, TA, pH, Ωarag, and Ωcalc. Surface ocean pCO2 is reconstructed based on an ensemble of neural network models mapping gridded observation-based data provided by SOCATv2022 (Bakker et al., 2016). Surface ocean TA is estimated with a multiple linear regression approach (Carter et al., 2016, 2017). The remaining carbonate variables are calculated from pCO2 and TA using a MATLAB version of CO2SYS (Lewis and Wallace, 1998; Van Heuven et al., 2011). The CMEMS-LSCE product is updated yearly for surface ocean pCO2, air-sea fluxes, and the carbonate system variables. Updates are phased with release of the SOCAT database. For surface ocean pCO2 and air-sea fluxes the temporal coverage is extended to the present date with a latency of 1 month (Chau et al., 2024b). </t>
  </si>
  <si>
    <t>CarboScope (Jena-MLS)</t>
  </si>
  <si>
    <t xml:space="preserve">Rödenbeck, Christian, DeVries, T., Hauck, J., Le Quéré, C., &amp; Keeling, R. F.: Data-based estimates of interannual sea-air CO2 flux variations 1957-2020 and their relation to environmental drivers, Biogeosciences, 19(10), 2627–2652,  https://doi.org/10.5194/bg-19-2627-2022, 2022.  </t>
  </si>
  <si>
    <t>Rödenbeck et al. (2022)</t>
  </si>
  <si>
    <t>https://doi.org/10.5194/bg-19-2627-2022</t>
  </si>
  <si>
    <t>https://bg.copernicus.org/articles/19/2627/2022/bg-19-2627-2022-avatar-web.png</t>
  </si>
  <si>
    <t>https://www.bgc-jena.mpg.de/CarboScope/</t>
  </si>
  <si>
    <t>2.5° x 2°</t>
  </si>
  <si>
    <t>daily</t>
  </si>
  <si>
    <t>1957-2020</t>
  </si>
  <si>
    <t>Variability of pCO2 and air–sea CO2 fluxes since 1957, sensitivities to SST and wind speed variations</t>
  </si>
  <si>
    <t xml:space="preserve">The Jena Mixed-Layer Scheme (within the CarboScope family of data-based estimates of carbon-cycle variability) is based on observed sea surface pCO2 from SOCAT (see above No. 1) (Bakker et al., 2014). It provides daily global fields of pCO2 and air–sea CO2 fluxes from 1957 to the year before present, on a resolution of 2.5° × 2° degrees. In the original method (Rödenbeck et al., 2013), a diagnostic model of the carbon balance in the ocean mixed layer is being fitted to the pCO2 data, by adjusting the ocean-interior sources and sinks of carbon of the mixed layer. The multi-decadal trend is derived from the data-based Ocean Circulation Inverse Model (OCIM) estimate provided by DeVries (2022b). Since a later extension described in Rödenbeck et al. (2022), the variability in the ocean-interior sources and sinks is first regressed against variability in SST and wind speed. The regression step is followed by a correction step with explicit temporal variability, to also represent data variability not yet represented by the predictors of the regression. The CarboScope product is updated yearly.    </t>
  </si>
  <si>
    <t>andrew.watson@exeter.ac.uk</t>
  </si>
  <si>
    <t>UoEX-Watson</t>
  </si>
  <si>
    <t>Watson, A. J., Schuster, U., Shutler, J. D., Holding, T., Ashton, I. G., Landschützer, P., Woolf, D., and Goddijn-Murphy, L.: Revised estimates of ocean-atmosphere CO2 flux are consistent with ocean carbon inventory, Nature Communications, 11(1), 1–6, https://doi.org/10.1038/s41467-020-18203-3, 2020.</t>
  </si>
  <si>
    <t>Watson et al (2020)</t>
  </si>
  <si>
    <t>https://doi.org/10.1038/s41467-020-18203-3</t>
  </si>
  <si>
    <t>https://i.ibb.co/tpmH1dzt/Watson.png</t>
  </si>
  <si>
    <t>https://www.ncei.noaa.gov/data/oceans/ncei/ocads/data/0301544/</t>
  </si>
  <si>
    <t>1985-2019</t>
  </si>
  <si>
    <t>Air-sea fluxes of CO2 with adjusted skin temperature effect</t>
  </si>
  <si>
    <t>This is a gridded estimate of the atmosphere-ocean flux of CO2.  It takes into account near-surface temperature and salinity deviations due to the surface "skin effect", and small deviations in temperature caused by sampling below the actual surface of the ocean, which most estimates ignore. The result is a substantially larger estimate of net flux into the ocean than most other products. Apart from the surface correction, the SOM-FFN neural net interpolation method developed by Landschutzer et al is followed.</t>
  </si>
  <si>
    <t>zeng@nies.go.jp</t>
  </si>
  <si>
    <t>NIES-ML3</t>
  </si>
  <si>
    <t>Zeng, J., Iida, Y., Matsunaga, T., and Shirai, T. 2022. Surface ocean CO2 concentration and air-sea flux estimate by machine learning with modelled variable trends. Front. Mar. Sci. 9, 989233. https://doi.org/10.3389/fmars.2022.989233</t>
  </si>
  <si>
    <t>Zeng et al. (2022)</t>
  </si>
  <si>
    <t>https://doi.org/10.3389/fmars.2022.989233</t>
  </si>
  <si>
    <t>https://i.ibb.co/zW1nfm1f/Picture3b.png</t>
  </si>
  <si>
    <t>https://www.nies.go.jp/doi/10.17595/20220311.001-e.html</t>
  </si>
  <si>
    <t>1982 - 2024</t>
  </si>
  <si>
    <t xml:space="preserve">Three machine learning methods were used to simulate surface ocean CO2 trends and construct monthly CO2 maps. </t>
  </si>
  <si>
    <t xml:space="preserve">A feed forward neural network (NN), a random forest (RF) and a gradient boost machine (GB) were used to simulate the time variant trends of the surface ocean CO2 and construct monthly global surface ocean CO2 maps. The trends of ocean CO2 were estimated from the annual increase rate of atmospheric CO2 first and then corrected by using the NN, RF and GB with a leave-one-year-out validation method. Including different machine learning methods has the advantages of preventing over fitting by inter-comparison and reducing hot-spot by using the ensemble of their results.    </t>
  </si>
  <si>
    <t>CSIR-ML6</t>
  </si>
  <si>
    <t>Gregor, L., Lebehot, A. D., Kok, S., and Scheel Monteiro, P. M.: A comparative assessment of the uncertainties of global surface ocean CO2 estimates using a machine-learning ensemble (CSIR-ML6 version 2019a) – have we hit the wall?, Geosci. Model Dev., 12, 5113–5136, https://doi.org/10.5194/gmd-12-5113-2019, 2019.</t>
  </si>
  <si>
    <t>Gregor et al. (2019)</t>
  </si>
  <si>
    <t>https://doi.org/10.5194/gmd-12-5113-2019</t>
  </si>
  <si>
    <t>https://gmd.copernicus.org/articles/12/5113/2019/gmd-12-5113-2019-f09-web.png</t>
  </si>
  <si>
    <t>https://www.ncei.noaa.gov/data/oceans/ncei/ocads/metadata/0206205.html</t>
  </si>
  <si>
    <t>1982 - 2020</t>
  </si>
  <si>
    <t>Various ML methods produce different results when data is sparse, but all still achieving roughly the same uncertainty</t>
  </si>
  <si>
    <t>Provides monthly 1° × 1° estimates of surface pCO2 (Gregor et al., 2019a). The approach uses the conceptual two-step approach of clustering and performing regressions for each cluster as Landschützer et al. (2016). CSIR-ML6 investigates the efficacy of various machine learning (ML) methods in estimating surface pCO2, namely, feed-forward neural networks (FFNN), extremely randomized trees (ERT), gradient boosting machines (GBM), and support vector regression (SVR). It is found that the ensemble of all but the ERT method resulted in the best estimate, highlighting the fact that various ML methods do not produce the same outcome, particularly when data is sparse. Further, the variance between ensemble members can inform us about regions where uncertainty may be large due to methodological differences. Despite this, all methods achieve roughly the same uncertainty – a barrier, or wall beyond which the community has yet to overcome.</t>
  </si>
  <si>
    <t>zhongguorong@qdio.ac.cn</t>
  </si>
  <si>
    <t>Stepwise-FFNN</t>
  </si>
  <si>
    <t>Zhong, G., Li, X., Song, J., Qu, B., Wang, F., Wang, Y., ... &amp; Duan, L. 2022. Reconstruction of global surface ocean pCO2 using region-specific predictors based on a stepwise FFNN regression algorithm, Biogeosciences, 19, 845-859, https://doi.org/10.5194/bg-19-845-2022.</t>
  </si>
  <si>
    <t>Zhong et al. (2022)</t>
  </si>
  <si>
    <t xml:space="preserve"> http://doi.org/10.12157/IOCAS.20250814.001</t>
  </si>
  <si>
    <t>https://appletmsdc.qdio.ac.cn//files/metadata/images/2025-08-14_1955061943601487874/DATA20251000212_11415094_1.jpg</t>
  </si>
  <si>
    <t>1992 - 2024</t>
  </si>
  <si>
    <t>ML-based selection of predictors considering regional differences of pCO2 drivers</t>
  </si>
  <si>
    <t xml:space="preserve">A monthly global 1° × 1° surface ocean pCO2 product from January 1992 to December 2024, constructed by combining the stepwise regression algorithm and a feed-forward neural network (FFNN) to select predictors of pCO2 based on the mean absolute error in each of the 11 biogeochemical provinces defined by the self-organizing map (SOM) method. </t>
  </si>
  <si>
    <t>AOML-ET</t>
  </si>
  <si>
    <t>Wanninkhof, R., Triñanes, J., Pierrot, D., Munro, D. R., Sweeney, C., and Fay, A. R.: Trends in sea-air CO2 fluxes and sensitivities to atmospheric forcing using an extremely randomized trees machine learning approach, Global Biogeochemical Cycles, 39, https://doi.org/10.1029/2024GB008315, 2025.</t>
  </si>
  <si>
    <t>Wanninkhof et al. (2015)</t>
  </si>
  <si>
    <t>https://doi.org/10.1029/2024GB008315</t>
  </si>
  <si>
    <t>https://www.ncei.noaa.gov/data/oceans/archive/arc0235/0298989/2.2/about/0298989_preview.jpg</t>
  </si>
  <si>
    <t>https://www.ncei.noaa.gov/data/oceans/ncei/ocads/metadata/0298989.html</t>
  </si>
  <si>
    <t>1998 - 2023</t>
  </si>
  <si>
    <t>Monthly global sea-air CO2 flux maps in modern era</t>
  </si>
  <si>
    <t xml:space="preserve">Wanninkhof et al. (2025) developed a monthly global ocean data product of seawater pCO2 and sea-air CO2 fluxes, referred to as AOML-ET, using an extremely randomized trees (ET) machine learning technique. These maps are created on 1° × 1° spatial grids, providing global surface ocean coverages from 1998 to 2023. AOML-ET incorporates several predictor variables, including time, location, SST, SSS, MLD, and chlorophyll-a. The model was trained using the v2020 and v2023 releases of the SOCAT data product (No. 1). Sea-air CO2 fluxes were calculated using the air-sea CO2 partial pressure difference (∆pCO2) and a bulk gas transfer formulation incorporating windspeed. </t>
  </si>
  <si>
    <t>alizee.roobaert@vliz.be</t>
  </si>
  <si>
    <t>ULB-SOM-FFN-Coastalv2.1</t>
  </si>
  <si>
    <t>Roobaert, A., Regnier, P., Landschützer, P., and Laruelle, G. G.: A novel sea surface pCO2-product for the global coastal ocean resolving trends over 1982–2020, Earth System Science Data, 16(1), 421–441, https://doi.org/10.5194/essd-16-421-2024, 2024.</t>
  </si>
  <si>
    <t>Roobaert et al. (2024)</t>
  </si>
  <si>
    <t>https://doi.org/10.5194/essd-16-421-2024</t>
  </si>
  <si>
    <t>https://essd.copernicus.org/articles/16/421/2024/essd-16-421-2024-f01-web.png</t>
  </si>
  <si>
    <t>https://doi.org/10.25921/4sde-p068</t>
  </si>
  <si>
    <t>1982-2020</t>
  </si>
  <si>
    <t>Global temporal trends of coastal pCO2 and air-sea CO2 fluxes based on SOCATv2022 with data collected from 1982–2020</t>
  </si>
  <si>
    <t>Roobaert et al. (2024) present high-resolution (0.25° × 0.25° grid) monthly maps showing the distribution of sea surface pCO2 across the global coastal oceans, spanning from 1982 to 2020. This product (ULB-SOM-FFN-coastalv2.1) builds upon the work by Laruelle et al. (2017), incorporating a two-step methodology that utilizes Self Organizing Maps (SOM) and Feed Forward Networks (FFN). This updated product now captures temporal variability, enabling the assessment of interannual variability and long-term trends in coastal air-sea CO2 exchange, unlike the product by Laruelle et al. (2017), which only offers a climatology for a short period (1998-2015). The enhancements include additional environmental predictors and an expanded dataset for training and validation, featuring approximately 18 million direct coastal observations from the SOCAT database, specifically the SOCATv2022 release (Bakker et al., 2016). The product is available at OCADS: https://www.ncei.noaa.gov/data/oceans/ncei/ocads/metadata/0279118.html (Roobaert et al., 2023).</t>
  </si>
  <si>
    <t>RFR-LME</t>
  </si>
  <si>
    <t>Sharp, J. D., Jiang, L.-Q., Carter, B. R., Lavin, P. D., Yoo, H., and Cross, S. L., 2024. A mapped dataset of surface ocean acidification indicators in large marine ecosystems of the United States, Sci. Data, 11, 715,  https://doi.org/10.1038/s41597-024-03530-7.</t>
  </si>
  <si>
    <t>Sharp et al. (2024)</t>
  </si>
  <si>
    <t>https://doi.org/10.1038/s41597-024-03530-7</t>
  </si>
  <si>
    <t>https://i.ibb.co/ynxb1Hry/Screenshot-2025-11-07-at-09-32-32.png</t>
  </si>
  <si>
    <t>https://www.ncei.noaa.gov/data/oceans/ncei/ocads/metadata/0287551.html</t>
  </si>
  <si>
    <t>1998 - 2024</t>
  </si>
  <si>
    <t>Coastal ocean, Surface, Regional</t>
  </si>
  <si>
    <t>Temporal trends of OA indicators and estimated uncertainties across 11 U.S. Large Marine Ecosystems (LMEs), with monthly coverage from 1998–2024.</t>
  </si>
  <si>
    <t>A data product delineating the temporal trends of ocean acidification indicators mapped on a 0.25°× 0.25° spatial grid, across eleven U.S. Large Marine Ecosystems (LMEs), with monthly coverage from 1998–2024. The method combines Gaussian Mixture Models to categorize the data into environmentally similar subregions, Random Forest Regressions (RFRs) for the spatial and temporal extrapolation of observational fCO2 data, and regressions to estimate total alkalinity (Carter et al. 2021) to provide a second carbonate system constraint for the computation of multiple ocean acidification indicators.</t>
  </si>
  <si>
    <t>ReCAD-NAACOM-pCO2</t>
  </si>
  <si>
    <t xml:space="preserve">Wu, Z., Lu, W., Roobaert, A., Song, L., Yan, X.-H., and Cai, W.-J.: A machine-learning reconstruction of sea surface pCO2 in the North American Atlantic Coastal Ocean Margin from 1993 to 2021, Earth Syst. Sci. Data. https://doi.org/10.5194/essd-17-43-2025, 2025. </t>
  </si>
  <si>
    <t>Wu et al. (2025)</t>
  </si>
  <si>
    <t>https://doi.org/10.5194/essd-17-43-2025</t>
  </si>
  <si>
    <t>https://essd.copernicus.org/articles/17/43/2025/essd-17-43-2025-avatar-web.png</t>
  </si>
  <si>
    <t>https://doi.org/10.5281/zenodo.11500974</t>
  </si>
  <si>
    <t>1993-2021</t>
  </si>
  <si>
    <t xml:space="preserve"> Sea surface pCO2 in the North American Atlantic Coastal Ocean
Margins (NAACOM)</t>
  </si>
  <si>
    <t xml:space="preserve">Wu et al. (2025) developed a reconstructed pCO2 product for the North American Atlantic Coastal Ocean Margins (NAACOM), spanning from the Gulf of Mexico/Gulf of America to the Grand Banks, called the Reconstructed Coastal Acidification Database-pCO2 (ReCAD-NAACOM-pCO2). This product employed a two-step approach combining random forest regression and linear regression to generate monthly pCO2 data at 0.25° spatial resolution from 1993–2021. The model was trained using SOCAT v2023 observations as ground-truth values, incorporating various satellite-derived and reanalysis environmental variables known to influence sea surface pCO2. </t>
  </si>
  <si>
    <t>Gridded Surface OA Indicators in the Northern Caribbean Sea</t>
  </si>
  <si>
    <t>Wanninkhof, R., Pierrot, D., Sullivan, K., Barbero, L., and Triñanes, J.: A 17-year dataset of surface water fugacity of CO2 along with calculated pH, aragonite saturation state and air–sea CO2 fluxes in the northern Caribbean Sea, Earth Syst. Sci. Data, 12, 1489–1509, https://doi.org/10.5194/essd-12-1489-2020, 2020.</t>
  </si>
  <si>
    <t>Wanninkhof et al. (2020)</t>
  </si>
  <si>
    <t>https://doi.org/10.5194/essd-12-1489-2020</t>
  </si>
  <si>
    <t>https://essd.copernicus.org/articles/12/1489/2020/essd-12-1489-2020-avatar-web.png</t>
  </si>
  <si>
    <t xml:space="preserve">https://www.ncei.noaa.gov/data/oceans/ncei/ocads/metadata/0207749.html </t>
  </si>
  <si>
    <t>2002 - 2019</t>
  </si>
  <si>
    <t xml:space="preserve">Coastal ocean </t>
  </si>
  <si>
    <t xml:space="preserve">A 17-year record of  fCO2, TA, pH, Ωarag, and air-sea CO2 flux in the Caribbean Sea </t>
  </si>
  <si>
    <t xml:space="preserve">This dataset contains a high-quality dataset of derived products from over a million observations of surface water partial pressure/fugacity of carbon dioxide (pCO2w/fCO2w), for the Caribbean Sea, Gulf of Mexico/Gulf of America and North-West Atlantic Ocean covering the timespan from 2002-01-01 to 2019-12-30. The derived quantities include TA, acidity (pH), Ωarag and air-sea CO2 flux (Wanninkhof et al., 2020). </t>
  </si>
  <si>
    <t>OA Data in the Gulf of Mexico/Gulf of America and Wider Caribbean</t>
  </si>
  <si>
    <t>van Hooidonk, R.: Modeled ocean acidification data in the Gulf of Mexico and wider Caribbean using satellites and climate model data for the Ocean Acidification Products for the Gulf of Mexico and East Coast project from 2014-01-01 to 2020-12-31 (NCEI Accession 0245950), NOAA National Centers for Environmental Information, Dataset, https://doi.org/10.25921/tt1c-dx53, 2022.</t>
  </si>
  <si>
    <t>van Hooidonk (2022)</t>
  </si>
  <si>
    <t>https://doi.org/10.25921/tt1c-dx53</t>
  </si>
  <si>
    <t>https://upload.wikimedia.org/wikipedia/commons/thumb/5/59/Aomlogo.svg/330px-Aomlogo.svg.png</t>
  </si>
  <si>
    <t>https://www.ncei.noaa.gov/data/oceans/ncei/ocads/metadata/0245950.html</t>
  </si>
  <si>
    <t>0.088° x 0.088°</t>
  </si>
  <si>
    <t>2014-2020</t>
  </si>
  <si>
    <t>Regional, Surface</t>
  </si>
  <si>
    <t xml:space="preserve">The Acidification, Climate, and Coral Reef Ecosystems Team (ACCRETE) Lab within AOML’s Ocean Chemistry and Ecosystems Division (OCED) developed a data product for tracking OA in the Caribbean and Gulf of Mexico/Gulf of America from 2014 to 2020 (van Hooidonk, 2022). Utilizing satellite imagery and a data-assimilative hybrid model, the tool maps key indicators of the water's carbonate system, including pCO2, TA, pH, Ωarag, and Ωcalc. This innovation builds upon an update to the experimental OA Product Suite (OAPS) developed by NOAA's Coral Reef Watch. </t>
  </si>
  <si>
    <t>pCO2 Climatology of the Baltic Sea</t>
  </si>
  <si>
    <t>Bittig, H.C., Jacobs, E., Neumann, T., and Rehder, G.: A regional pCO2 climatology of the Baltic Sea from in situ pCO2 observations and a model-based extrapolation approach, Earth Syst. Sci. Data, 16(2), 753–773, https://doi.org/10.5194/essd-16-753-2024, 2024.</t>
  </si>
  <si>
    <t>Bittig et al. (2024)</t>
  </si>
  <si>
    <t>https://doi.org/10.5194/essd-16-753-2024</t>
  </si>
  <si>
    <t>https://essd.copernicus.org/articles/16/753/2024/essd-16-753-2024-avatar-web.png</t>
  </si>
  <si>
    <t xml:space="preserve">https://doi.org/10.1594/PANGAEA.961119 </t>
  </si>
  <si>
    <t>0.10° x 0.05°</t>
  </si>
  <si>
    <t>2003-2021</t>
  </si>
  <si>
    <t>Regional</t>
  </si>
  <si>
    <t>Does not use proxy variables for extrapolation. Spatial scales adjust locally to data density</t>
  </si>
  <si>
    <t xml:space="preserve">Bittig et al. (2024) used biogeochemical model output to inform the mapping of sea surface pCO2 observations in the Baltic Sea and to build a mean monthly climatology for the period 2003 to 2021, with spatial resolutions of 0.10° × 0.05° (approximately 3 nautical miles in both directions). In a first step, spatial patterns of variability were extracted from 20 years of model surface pCO2 data by an EOF analysis. These spatial patterns were then used to map surface pCO2 observations from SOCAT (see above No. 1) (Bakker et al., 2014) onto the Baltic Sea domain. By using an ensemble approach with varying number of EOF patterns, the spatial scales of the mapping were locally adjusted based on the observation’s data density. Mapped monthly fields of pCO2 from 2003–2021 were combined for the product into a mean monthly climatology and a spatially-resolved linear trend. </t>
  </si>
  <si>
    <t>kunal.c@incois.gov.in</t>
  </si>
  <si>
    <t>INCOIS-ReML</t>
  </si>
  <si>
    <t>Joshi, A., Ghoshal, P.K., Chakraborty, K. et al. Sea-surface pCO2 maps for the Bay of Bengal based on advanced machine learning algorithms. Sci Data 11, 384 (2024). https://doi.org/10.1038/s41597-024-03236-w</t>
  </si>
  <si>
    <t>Joshi et al. (2024)</t>
  </si>
  <si>
    <t>https://doi.org/10.1038/s41597-024-03236-w</t>
  </si>
  <si>
    <t>https://i.ibb.co/cShr87g7/pCO2-BoB.png</t>
  </si>
  <si>
    <t>https://www.ncei.noaa.gov/data/oceans/ncei/ocads/metadata/0307627.html</t>
  </si>
  <si>
    <t>0.083° x 0.083°</t>
  </si>
  <si>
    <t>2015</t>
  </si>
  <si>
    <t>This data product integrates publicly available open-ocean observations with data from the Indian EEZ region in the Bay of Bengal to provide surface pCO2 and air-sea CO2 flux estimates.</t>
  </si>
  <si>
    <t>The Indian National Centre for Ocean Information Services-Regional Machine Learning model (INCOIS-ReML) pCO2 data product offers machine learning based monthly climatological sea surface pCO2 and the corresponding air-sea CO2 flux for the Bay of Bengal (Joshi et al., 2024). This high-resolution (0.083° × 0.083°) monthly climatological pCO2 data product is available from the INCOIS Portal: https://las.incois.gov.in, and from OCADS: https://www.ncei.noaa.gov/data/oceans/ncei/ocads/metadata/0307627.html (Joshi et al., 2025a).</t>
  </si>
  <si>
    <t>INCOIS_TA</t>
  </si>
  <si>
    <t xml:space="preserve">Joshi, A. P., Ghoshal, P. K., Chakraborty, K., Roy, R., Jayaram, C., Sridevi, B., &amp; Sarma, V. V. S. S. (2025). Long-term changes of surface total alkalinity and its driving mechanisms in the north Indian Ocean. Global Biogeochemical Cycles, 39, e2024GB008344. https://doi.org/10.1029/2024GB008344 </t>
  </si>
  <si>
    <t>Joshi et al. (2025)</t>
  </si>
  <si>
    <t>https://doi.org/10.1029/2024GB008344</t>
  </si>
  <si>
    <t>https://i.ibb.co/BYn8GyH/Climatology-TA.png</t>
  </si>
  <si>
    <t>https://www.ncei.noaa.gov/data/oceans/ncei/ocads/metadata/0307789.html</t>
  </si>
  <si>
    <t>1993-2020</t>
  </si>
  <si>
    <t>This data product integrates publicly available open-ocean observations with data collected during Indian scientific expeditions and from the Indian Exclusive Economic Zone to provide surface TA estimates for the North Indian Ocean.</t>
  </si>
  <si>
    <t>The Indian National Centre for Ocean Information Services-Total Alkalinity (INCOIS_TA) data product offers a machine learning based monthly interannual surface TA from 1993-2020 for the North Indian Ocean (Joshi et al., 2025). This data product integrates publicly available open-ocean observations with data collected during Indian scientific expeditions and from the Indian Exclusive Economic Zone. This high-resolution (0.083° × 0.083°) long-term monthly TA data product is available from the INCOIS Portal: https://las.incois.gov.in, and from OCADS: https://www.ncei.noaa.gov/data/oceans/ncei/ocads/metadata/0307789.html (Joshi et al., 2025).</t>
  </si>
  <si>
    <t>Gridded subsurface</t>
  </si>
  <si>
    <t>GLODAPv2 Climatology</t>
  </si>
  <si>
    <t>Lauvset, S. K., Key, R. M., Olsen, A., van Heuven, S., Velo, A., Lin, X., Schirnick, C., Kozyr, A., Tanhua, T., Hoppema, M., Jutterström, S., Steinfeldt, R., Jeansson, E., Ishii, M., Perez, F. F., Suzuki, T., and Watelet, S.: A new global interior ocean mapped climatology: The 1° × 1° GLODAP version 2, Earth System Science Data, 8(2), 325–340, https://doi.org/10.5194/essd-8-325-2016, 2016.</t>
  </si>
  <si>
    <t>Lauvset et al. (2016)</t>
  </si>
  <si>
    <t>https://doi.org/10.5194/essd-8-325-2016</t>
  </si>
  <si>
    <t>https://i.ibb.co/dwFT2QJx/GLODAPv2-Climatology.png</t>
  </si>
  <si>
    <t xml:space="preserve">https://www.ncei.noaa.gov/data/oceans/ncei/ocads/metadata/0286118.html </t>
  </si>
  <si>
    <t>2002</t>
  </si>
  <si>
    <t>Ocean interior climatology for multiple variables from surface to the bottom of the ocean (referenced to year 2002)</t>
  </si>
  <si>
    <t xml:space="preserve">Lauvset et al. (2016) generated a comprehensive set of global interior ocean climatologies, mapping key biogeochemical variables on a 1° × 1° grid for 33 depth levels from surface to 5500 m. These climatologies cover temperature, salinity, DO, nitrate, phosphate, silicate, DIC, TA, pH, Ωarag, and Ωcalc). This data product was created based on the quality-controlled and internally consistent GLODAPv2.2016 (Olsen et al., 2016) using the data-interpolating variational analysis (DIVA) method (Barth et al., 2014). The conceivably confounding temporal trends in DIC, pH, Ωarag and Ωcalc due to anthropogenic influence were removed prior to mapping by normalizing their values to a reference year of 2002 using first-order calculations of anthropogenic carbon accumulation rates. For all variables, all data from the full 1972–2013 period were used, including data that did not receive full secondary quality control. This data product is not updated each year along with the main GLODAPv2 data product. </t>
  </si>
  <si>
    <t>Aragonite Saturation Climatology</t>
  </si>
  <si>
    <t xml:space="preserve">Jiang, L.-Q., Feely, R. A., Carter, B. R., Greeley, D. J., Gledhill, D. K., and Arzayus, K. M.: Climatological distribution of aragonite saturation state in the global oceans,  Global Biogeochemical Cycles, 29(10), 1656–1673, https://doi.org/10.1002/2015GB005198, 2015. </t>
  </si>
  <si>
    <t xml:space="preserve">Jiang et al. (2015) </t>
  </si>
  <si>
    <t>https://doi.org/10.1002/2015GB005198</t>
  </si>
  <si>
    <t>https://i.ibb.co/KpxH4y77/gbc20348-fig-0002-m.jpg</t>
  </si>
  <si>
    <t>https://www.ncei.noaa.gov/data/oceans/ncei/ocads/metadata/0139360.html</t>
  </si>
  <si>
    <t>2000</t>
  </si>
  <si>
    <t>Ocean interior climatology for (Ωarag) from surface to 4000 m (referenced to year 2000)</t>
  </si>
  <si>
    <t xml:space="preserve">Jiang et al. (2015a) developed an interior ocean Ωarag climatology (referenced to 2000), on a 1° × 1° grid at 9 standardized depth levels from the surface down to 4000m. This was accomplished by integrating data from the first version of GLODAP (Key et al., 2004), CARINA (Key et al., 2010), and PACIFICA (Suzuki et al., 2013), along with additional recent cruise datasets up to 2012. </t>
  </si>
  <si>
    <t>lydi@vy-carb.com</t>
  </si>
  <si>
    <t>MOBO-DIC (Version 2020)</t>
  </si>
  <si>
    <t>Keppler, L., Landschützer, P., Gruber, N., Lauvset, S. K., and Stemmler, I.: Seasonal carbon dynamics in the near-global ocean, Global Biogeochemical Cycles, 34(12), e2020GB006571, https://doi.org/10.1029/2020GB006571, 2020.</t>
  </si>
  <si>
    <t>Keppler et al., 2020</t>
  </si>
  <si>
    <t>https://doi.org/10.1029/2020GB006571</t>
  </si>
  <si>
    <t>https://www.ncei.noaa.gov/access/ocean-carbon-acidification-data-system/oceans/ndp_104/Moby.jpg</t>
  </si>
  <si>
    <t>https://www.ncei.noaa.gov/access/ocean-carbon-acidification-data-system/oceans/ndp_104/ndp104.html</t>
  </si>
  <si>
    <t>Seasonal variability of DIC in the interior ocean from surface to 2000 m</t>
  </si>
  <si>
    <t xml:space="preserve">Keppler et al. (2020) produced a global interior ocean DIC monthly climatology (average climatological values for January through December) on a 1° × 1° grid at 33 standardized depth levels from the surface to 2000 m. </t>
  </si>
  <si>
    <t>lydi@vycarb.com</t>
  </si>
  <si>
    <t>MOBO-DIC (Version 2023)</t>
  </si>
  <si>
    <t>Keppler, L., Landschützer, P., Lauvset, S. K., and Gruber, N.: Recent trends and variability in the oceanic storage of dissolved inorganic carbon, Global Biogeochemical Cycles, 37(5), https://doi.org/10.1029/2022gb007677, 2023.</t>
  </si>
  <si>
    <t>Keppler et al. (2023)</t>
  </si>
  <si>
    <t>https://doi.org/10.1029/2022gb007677</t>
  </si>
  <si>
    <t>https://www.ncei.noaa.gov/data/oceans/ncei/ocads/metadata/0277099.html</t>
  </si>
  <si>
    <t>2004-2020</t>
  </si>
  <si>
    <t>Temporal trends and interannual variability of DIC in the interior ocean from surface to 1500 m</t>
  </si>
  <si>
    <t>Keppler et al. (2023) extended the temporal resolution of MOBO-DIC to resolve monthly fields from January 2004 to December 2019, as opposed to the average climatological values in Keppler et al. (2020).</t>
  </si>
  <si>
    <t>Monthly Interior Ocean TA Climatology</t>
  </si>
  <si>
    <t>Broullón, D., Pérez, F. F., Velo, A., Hoppema, M., Olsen, A., Takahashi, T., Key, R. M., Tanhua, T., González-Dávila, M., Jeansson, E., Kozyr, A., and van Heuven, S. M. A. C.: A global monthly climatology of total alkalinity: a neural network approach, Earth Syst. Sci. Data, 11, 1109–1127, https://doi.org/10.5194/essd-11-1109-2019, 2019.</t>
  </si>
  <si>
    <t>Broullon et al., (2019)</t>
  </si>
  <si>
    <t>https://doi.org/10.5194/essd-11-1109-2019</t>
  </si>
  <si>
    <t>https://essd.copernicus.org/articles/11/1109/2019/essd-11-1109-2019-f09-web.png</t>
  </si>
  <si>
    <t>https://doi.org/10.25921/5p69-y471</t>
  </si>
  <si>
    <t>Ocean interior climatology for TA from surface to bottom</t>
  </si>
  <si>
    <t>Global climatologies of the seawater CO2 chemistry variables are necessary to assess the marine carbon cycle in depth. The climatologies should adequately capture seasonal variability to properly address ocean acidification and similar issues related to the carbon cycle. Total alkalinity (AT) is one variable of the seawater CO2 chemistry system involved in ocean acidification and frequently measured. We used the Global Ocean Data Analysis Project version 2.2019 (GLODAPv2) to extract relationships among the drivers of the AT variability and AT concentration using a neural network (NNGv2) to generate a monthly climatology. The GLODAPv2 quality-controlled dataset used was modeled by the NNGv2 with a root-mean-squared error (RMSE) of 5.3 µmol kg−1. Validation tests with independent datasets revealed the good generalization of the network. Data from five ocean time-series stations showed an acceptable RMSE range of 3–6.2 µmol kg−1. Successful modeling of the monthly AT variability in the time series suggests that the NNGv2 is a good candidate to generate a monthly climatology. The climatological fields of AT were obtained passing through the NNGv2 the World Ocean Atlas 2013 (WOA13) monthly climatologies of temperature, salinity, and oxygen and the computed climatologies of nutrients from the previous ones with a neural network. The spatiotemporal resolution is set by WOA13: 1∘ × 1∘ in the horizontal, 102 depth levels (0–5500 m) in the vertical and monthly (0–1500 m) to annual (1550–5500 m) temporal resolution. The product is distributed through the data repository of the Spanish National Research Council (CSIC; https://doi.org/10.20350/digitalCSIC/8644, Broullón et al., 2019).</t>
  </si>
  <si>
    <t>Monthly Interior Ocean DIC Climatology</t>
  </si>
  <si>
    <t>Broullón, D., Pérez, F. F., Velo, A., Hoppema, M., Olsen, A., Takahashi, T., Key, R. M., Tanhua, T., Santana-Casiano, J. M., and Kozyr, A.: A global monthly climatology of oceanic total dissolved inorganic carbon: A Neural Network approach, Earth Syst. Sci. Data, 12(3), 1725–1743,  https://doi.org/10.5194/essd-12-1725-2020, 2020</t>
  </si>
  <si>
    <t>Broullón et al., (2020)</t>
  </si>
  <si>
    <t>https://doi.org/10.5194/essd-12-1725-2020</t>
  </si>
  <si>
    <t>https://essd.copernicus.org/articles/12/1725/2020/essd-12-1725-2020-f07-web.png</t>
  </si>
  <si>
    <t>https://doi.org/10.25921/ndgj-jp24</t>
  </si>
  <si>
    <t>1995</t>
  </si>
  <si>
    <t>Ocean interior climatology for DIC from surface to bottom (referenced to year 1995)</t>
  </si>
  <si>
    <t>Anthropogenic emissions of CO2 to the atmosphere have modified the carbon cycle for more than 2 centuries. As the ocean stores most of the carbon on our planet, there is an important task in unraveling the natural and anthropogenic processes that drive the carbon cycle at different spatial and temporal scales. We contribute to this by designing a global monthly climatology of total dissolved inorganic carbon (TCO2), which offers a robust basis in carbon cycle modeling but also for other studies related to this cycle. A feedforward neural network (dubbed NNGv2LDEO) was configured to extract from the Global Ocean Data Analysis Project version 2.2019 (GLODAPv2.2019) and the Lamont–Doherty Earth Observatory (LDEO) datasets the relations between TCO2 and a set of variables related to the former's variability. The global root mean square error (RMSE) of mapping TCO2 is relatively low for the two datasets (GLODAPv2.2019: 7.2 µmol kg−1; LDEO: 11.4 µmol kg−1) and also for independent data, suggesting that the network does not overfit possible errors in data. The ability of NNGv2LDEO to capture the monthly variability of TCO2 was testified through the good reproduction of the seasonal cycle in 10 time series stations spread over different regions of the ocean (RMSE: 3.6 to 13.2 µmol kg−1). The climatology was obtained by passing through NNGv2LDEO the monthly climatological fields of temperature, salinity, and oxygen from the World Ocean Atlas 2013 and phosphate, nitrate, and silicate computed from a neural network fed with the previous fields. The resolution is  in the horizontal, 102 depth levels (0–5500 m), and monthly (0–1500 m) to annual (1550–5500 m) temporal resolution, and it is centered around the year 1995. The uncertainty of the climatology is low when compared with climatological values derived from measured TCO2 in the largest time series stations. Furthermore, a computed climatology of partial pressure of CO2 (pCO2) from a previous climatology of total alkalinity and the present one of TCO2 supports the robustness of this product through the good correlation with a widely used pCO2 climatology (Landschützer et al., 2017). Our TCO2 climatology is distributed through the data repository of the Spanish National Research Council (CSIC; https://doi.org/10.20350/digitalCSIC/10551, Broullón et al., 2020)</t>
  </si>
  <si>
    <t>Acidification Metrics in the Ocean Interior</t>
  </si>
  <si>
    <t xml:space="preserve">Fassbender, A. J., Carter, B. R., Sharp, J. D., Huang, Y., Arroyo, M. C., and Frenzel, H.: Amplified subsurface signals of ocean acidification, Global Biogeochemical Cycles, 37, e2023GB007843, https://doi.org/10.1029/2023GB007843, 2023. </t>
  </si>
  <si>
    <t xml:space="preserve">Fassbender et al. (2023) </t>
  </si>
  <si>
    <t>https://doi.org/10.1029/2023GB007843</t>
  </si>
  <si>
    <t>https://www.ncei.noaa.gov/data/oceans/archive/arc0227/0290073/1.1/about/0290073_preview.jpg</t>
  </si>
  <si>
    <t>https://www.ncei.noaa.gov/data/oceans/ncei/ocads/metadata/0290073.html</t>
  </si>
  <si>
    <t>1850 - 2002</t>
  </si>
  <si>
    <t>Metrics of acidification in the ocean interior (to 2000 m) and the component of those changes caused by carbonate system nonlinearities</t>
  </si>
  <si>
    <t xml:space="preserve">Fassbender et al. (2023) generated estimates of global interior ocean changes to pH, [H+], Ωarag, pCO2, and the Revelle sensitivity factor driven by the accumulation of anthropogenic carbon (Cant) from the preindustrial period to the year 2002, and quantified the component of those changes caused by nonlinearities in the carbonate system. For each OA metric, the dataset includes year 2002 values and quasi-preindustrial values, which were estimated by subtracting Cant from the year 2002 carbonate chemistry information and recomputing each OA metric without considering any warming, circulation, or biological changes that may have occurred since the preindustrial era. </t>
  </si>
  <si>
    <t>jens@carbontosea.org</t>
  </si>
  <si>
    <t>Ocean Interior Acidification over the Industrial Era</t>
  </si>
  <si>
    <t>Jens D. Müller, Nicolas Gruber, Progression of ocean interior acidification over the industrial era. Sci. Adv.10, eado3103(2024). DOI:10.1126/sciadv.ado3103</t>
  </si>
  <si>
    <t>Müller et al. (2024)</t>
  </si>
  <si>
    <t>https://doi.org/10.1126/sciadv.ado3103</t>
  </si>
  <si>
    <t>https://i.ibb.co/YT3rjvDc/sciadv-ado3103-f1.jpg</t>
  </si>
  <si>
    <t>https://doi.org/10.25921/tefm-x802</t>
  </si>
  <si>
    <t>decadal</t>
  </si>
  <si>
    <t>1800 - 2014</t>
  </si>
  <si>
    <t>Temporal trends in the progression of acidification in the interior ocean are resolved</t>
  </si>
  <si>
    <t>Building on the total anthropogenic carbon estimates for 1994 from Sabine et al. (2004) and the decadal changes between 1994 and 2014 reconstructed by Müller et al. (2023a), Müller and Gruber (2024a) quantified ocean interior acidification over the industrial era. To convert the increasing anthropogenic carbon concentrations into acidification estimates, their approach relied on time-invariant climatologies of ocean interior DIC, TA, temperature, salinity, and other relevant variables to determine the background state of the marine carbonate system. Hence, their estimates resolve exclusively the acidification driven by the anthropogenic carbon accumulation. In contrast to direct observations of acidification variables, such as those collected at time-series stations, this approach does not account for changes in the natural carbon cycle or the displacement of water masses.</t>
  </si>
  <si>
    <t>Anthropogenic CO2 from 1994 to 2007</t>
  </si>
  <si>
    <t xml:space="preserve">Gruber, N., Clement, D., Carter, B. R., Feely, R. A., van Heuven, S., Hoppema, M., Ishii, M., Key, R. M., Kozyr, A., Lauvset, S. K., Lo Monaco, C., Mathis, J. T., Murata, A., Olsen, A., Perez, F. F., Sabine, C. L., Tanhua, T., and Wanninkhof, R.: The oceanic sink for anthropogenic CO2 from 1994 to 2007, Science, 363(6432), 1193–1199, https://doi.org/10.1126/science.aau5153, 2019. </t>
  </si>
  <si>
    <t xml:space="preserve">Gruber et al. (2019) </t>
  </si>
  <si>
    <t>https://doi.org/10.1126/science.aau5153</t>
  </si>
  <si>
    <t>https://www.ncei.noaa.gov/data/oceans/archive/arc0132/0186034/1.1/about/0186034_preview.jpg</t>
  </si>
  <si>
    <t>https://www.ncei.noaa.gov/data/oceans/ncei/ocads/metadata/0186034.html</t>
  </si>
  <si>
    <t>1994 - 2007</t>
  </si>
  <si>
    <t>The oceanic sink for anthropogenic CO2 over the period 1994 to 2007</t>
  </si>
  <si>
    <t xml:space="preserve">Gruber et al. (2019a) estimated the decadal time-scale changes in the oceanic content of anthropogenic CO2 (∆Cant) between 1994 to 2007. The results were derived from the GLODAPv2.2016 product (Olsen et al., 2016), utilizing the eMLR(C*) methodology pioneered by Clement and Gruber (2018). The product is combined with the estimated amount of Cant for 1994 derived by Sabine et al. (2004) from GLODAPv1 to infer Cant for 2007. </t>
  </si>
  <si>
    <t>Decadal Trends in Anthropogenic CO2 from 1994 to 2014</t>
  </si>
  <si>
    <t xml:space="preserve"> Müller, J. D., Gruber, N., Carter, B., Feely, R., Ishii, M., Lange, N., et al. (2023). Decadal trends in the oceanic storage of anthropogenic carbon from 1994 to 2014. AGU Advances, 4, e2023AV000875. https://doi.org/10.1029/2023AV000875</t>
  </si>
  <si>
    <t>Müller et al. (2023)</t>
  </si>
  <si>
    <t>https://doi.org/10.1029/2023AV000875</t>
  </si>
  <si>
    <t>https://eos.org/wp-content/uploads/2023/08/Fig2_highlight.jpg</t>
  </si>
  <si>
    <t>https://doi.org/10.25921/ppcf-w020</t>
  </si>
  <si>
    <t>1994 - 2014</t>
  </si>
  <si>
    <t>Temporal trends in the accumulation of anthropogenic CO2 in the interior ocean are resolved</t>
  </si>
  <si>
    <t>Müller et al. (2023a) extended the analysis by Gruber et al. (2019a) to reconstruct decadal trends in the oceanic storage of ∆Cant in the global ocean interior from mid-year 1994 to mid-year 2004, and further to mid-year 2014. They applied the extended multiple linear regression (eMLR) method (Clement and Gruber, 2018) to ship-borne observations of DIC and other biogeochemical variables from GLODAPv2.2021 (Lauvset et al., 2021).</t>
  </si>
  <si>
    <t>Anthropogenic carbon from 1750 to 2500 (TRACE)</t>
  </si>
  <si>
    <t>Carter, B. R., Schwinger, J., Sonnerup, R., Fassbender, A. J., Sharp, J. D., Dias, L. M., &amp; Sandborn, D. E. (2025). Tracer-based Rapid Anthropogenic Carbon Estimation (TRACE). Earth System Science Data, 17(6), 3073-3088.</t>
  </si>
  <si>
    <t>Carter et al. (2025)</t>
  </si>
  <si>
    <t>https://doi.org/10.5194/essd-17-3073-2025</t>
  </si>
  <si>
    <t>https://essd.copernicus.org/articles/17/3073/2025/essd-17-3073-2025-avatar-web.png</t>
  </si>
  <si>
    <t>https://zenodo.org/records/15692788</t>
  </si>
  <si>
    <t>1750-2500</t>
  </si>
  <si>
    <t>Open ocean, Surface, Water column</t>
  </si>
  <si>
    <t>New methods for rapidly estimating anthropogenic carbon from temperature, salinity, and date are presented.  The methods are then used with SSPs to estimate anthropogenic carbon in the ocean globally from 1750 to 2500.</t>
  </si>
  <si>
    <t>Here, we make modifications to the transit time distribution approach for Canth estimation that render the method more accessible. We also release software (BRCScienceProducts, 2025) called “Tracer-based Rapid Anthropogenic Carbon Estimation version 1” (TRACEv1) that allows users – with one line of code – to obtain Canth and water mass age estimates throughout the global open ocean from user-supplied values of geographic location, pressure, salinity, temperature, and the estimate year. We use this code to generate a data product of global gridded open-ocean Canth distributions (TRACEv1_GGCanth; Carter, 2025) that ranges from the preindustrial era through 2500 under a range of Shared Socioeconomic Pathways (SSPs, or atmospheric CO2 concentration pathways). We estimated the skill of these estimates by reconstructing Canth in models with known distributions of Canth and transient tracers and by conducting perturbation tests. In the model-based reconstruction test, TRACEv1 reproduces the global ocean Canth inventory to within ±10 % in 1980 and 2014. We discuss implications and limitations of the projected Canth distributions and highlight ways that the estimation strategy might be improved. One finding is that the ocean will continue to increase its net Canth inventory at least through 2500 due to deep-ocean ventilation, even with the SSP in which intense mitigation successfully decreases atmospheric Canth by ∼60 % in 2500 relative to the 2024 concentration. A notable limitation of this and similar projections made with TRACEv1 is that ongoing and potential future warming and changing oceanic circulation patterns with climate change are not captured by the method. The data products generated by this research are available as MATLAB code (https://doi.org/10.5281/zenodo.15692788, BRCScienceProducts, 2025) and a spatially and temporally gridded data product (https://doi.org/10.5281/zenodo.15692788, BRCScienceProducts, 2025).</t>
  </si>
  <si>
    <t xml:space="preserve">Preformed TA and other biogeochemical properties </t>
  </si>
  <si>
    <t>Carter, B. R., Feely, R. A., Lauvset, S. K., Olsen, A., DeVries, T., &amp; Sonnerup, R. (2021). Preformed properties for marine organic matter and carbonate mineral cycling quantification. Global Biogeochemical Cycles, 35(1), e2020GB006623.</t>
  </si>
  <si>
    <t>Carter et al. (2021)</t>
  </si>
  <si>
    <t>https://zenodo.org/records/3745002</t>
  </si>
  <si>
    <t>https://i.ibb.co/S488KKjG/gbc21075-fig-0003-m.jpg</t>
  </si>
  <si>
    <t>https://github.com/BRCScienceProducts/PreformedPropertyEstimates</t>
  </si>
  <si>
    <t>We have updated global preformed biogeochemical property estimates and provided the estimates for analysis and model validation</t>
  </si>
  <si>
    <t>We estimate preformed ocean phosphate, nitrate, oxygen, silicate, and alkalinity by combining a reconstruction of ventilation pathways in the ocean interior with estimates of submixed layer properties. These new preformed property estimates are intended to aid biogeochemical cycling studies and validation of modeled preformed property distributions and are available online. Analyses of net property accumulations (observed minus preformed properties) indicate net remineralization ratios in the ocean interior of [1 P]: [14.1 ± 0.6 N]: [−141 ± 12 O2]: [95 ± 25 Si]: [89 ± 9 TA]. These ratios imply that the interior ocean stores 1,300 (±230) PgC through organic matter remineralization and 540 (±60) PgC through carbonate mineral dissolution and that apparent oxygen utilization can overestimate the interior ocean oxygen consumption by ~25%. Further, only 4 (±1%) and 46 (±5%) of the total alkalinity accumulated from carbonate mineral dissolution are found in seawater that is supersaturated with respect to the aragonite and calcite mineral forms of calcium carbonate, respectively. These small excess alkalinity inventories are due to smaller volumes of the supersaturated water masses and shorter ventilation timescales, as carbonate mineral dissolution rates appear nearly independent of depth and saturation state.</t>
  </si>
  <si>
    <t>Monthly Interior Ocean pH Climatology</t>
  </si>
  <si>
    <t>Zhong, G., Li, X., Song, J., Qu, B., Wang, F., Wang, Y., Zhang, B., Cheng, L., Ma, J., Yuan, H., Duan, L., Li, N., Wang, Q., Xing, J., and Dai, J. 2025. A global monthly 3D field of seawater pH over 3 decades: a machine learning approach, Earth Syst. Sci. Data, 17, 719–740, https://doi.org/10.5194/essd-17-719-2025.</t>
  </si>
  <si>
    <t>Zhong et al. (2025)</t>
  </si>
  <si>
    <t xml:space="preserve"> http://doi.org/10.12157/IOCAS.20230720.001</t>
  </si>
  <si>
    <r>
      <rPr>
        <color rgb="FF1155CC"/>
        <u/>
      </rPr>
      <t>https://appletmsdc.qdio.ac.cn//files/metadata/images/2025-11-07_1681888486837194754/DATA2023000009_zhongguorong_1.jpg</t>
    </r>
  </si>
  <si>
    <t>1992 - 2020</t>
  </si>
  <si>
    <t>Temporal variability of pH in the interior ocean from surface to 2000 m over 3 decades</t>
  </si>
  <si>
    <t>A monthly 1° × 1° gridded global seawater pH (total scale) climatology from 1992 to 2020 at in situ temperature, derived using a machine learning algorithm trained on pH observations from GLODAPv2. The product spans from 1992 to 2020 and covers depths from the surface to 2000 m across 41 vertical levels.</t>
  </si>
  <si>
    <t>CODAP-NA Climatology</t>
  </si>
  <si>
    <t xml:space="preserve">Jiang, L.-Q., Boyer, T. P., Paver, C. R., Yoo, H., Reagan, J. R., Alin, S. R., Barbero, L., Carter, B. R., Feely, R. A., and Wanninkhof, R.: Climatological distribution of ocean acidification variables along the North American ocean margins, Earth System Science Data, 16(7), 3383–3390, https://doi.org/10.5194/essd-16-3383-2024, 2024. </t>
  </si>
  <si>
    <t>Jiang et al. (2024)</t>
  </si>
  <si>
    <t>https://doi.org/10.5194/essd-16-3383-2024</t>
  </si>
  <si>
    <t>https://essd.copernicus.org/articles/16/3383/2024/essd-16-3383-2024-avatar-web.png</t>
  </si>
  <si>
    <t>https://www.ncei.noaa.gov/data/oceans/ncei/ocads/metadata/0270962.html</t>
  </si>
  <si>
    <t>The first discrete bottle based climatology in the North American ocean margins</t>
  </si>
  <si>
    <t xml:space="preserve">Jiang et al. (2024) developed a coastal OA indicators climatology on a 1°×1° grid, covering North American ocean margins from surface to 500 m at 14 standardized depth levels. This product includes 10 key oceanographic variables: fCO2, pH, [H+]total, free hydrogen ion content ([H+]free), carbonate ion content ([CO32-]), Ωarag, Ωcalc, DIC, TA, and Revelle Factor (RF), as well as temperature and salinity. The climatology was produced with the WOA gridding technologies of the NOAA National Centers for Environmental Information (NCEI), based on the recently released Coastal Ocean Data Analysis Product in North America (CODAP-NA) (Jiang et al., 2021), along with GLODAPv2.2022 (Lauvset et al., 2022). The relevant variables were adjusted to the year of 2010 before the gridding. </t>
  </si>
  <si>
    <t>Harmonized</t>
  </si>
  <si>
    <t>SeaFlux</t>
  </si>
  <si>
    <t>Fay, A. R., Gregor, L., Landschützer, P., McKinley, G. A., Gruber, N., Gehlen, M., Iida, Y., Laruelle, G. G., Rödenbeck, C., Roobaert, A., and Zeng, J.: SeaFlux: harmonization of air–sea CO2 fluxes from surface pCO2 data products using a standardized approach, Earth Syst. Sci. Data, 13, 4693–4710, https://doi.org/10.5194/essd-13-4693-2021, 2021</t>
  </si>
  <si>
    <t>Fay and Gregor et al. (2021)</t>
  </si>
  <si>
    <t>https://doi.org/10.5194/essd-2021-16</t>
  </si>
  <si>
    <t>https://seaflux.readthedocs.io/en/latest/_static/seaflux_logo.png</t>
  </si>
  <si>
    <t>https://zenodo.org/records/8280457</t>
  </si>
  <si>
    <t>1990 - 2022</t>
  </si>
  <si>
    <t>Careful consideration of flux calculation provides a resource and code to the community for independent flux calculations</t>
  </si>
  <si>
    <t>Harmonization of air–sea CO2 fluxes from surface pCO2 data products using a standardized approach (Gregor and Fay, 2021). This resource provides an ensemble of six pCO2 products with air-sea CO2 fluxes computed consistently. The six included products are: CMEMS-LSCEv1, CSIR-ML6, JENA-MLS, JMA-MLR, MPI-SOMFFN, and NIES-FNN. First, missing areas of pCO2 estimates (mostly high-latitude and marginal seas) are filled using a linear-regression approach, thus addressing differences in spatial coverage between the mapping products. Further, also accounts for methodological inconsistencies in flux calculations. Fluxes are calculated using three wind products (CCMPv2, ERA5, and JRA55) along with the application of a scaled gas exchange coefficient for each of the wind products. Through these steps, SeaFlux presents a product ensemble of interpolated global surface ocean pCO2 and air–sea carbon flux estimates for the years 1990–2019</t>
  </si>
  <si>
    <t>RECCAP2</t>
  </si>
  <si>
    <t>DeVries, T., Yamamoto, K., Wanninkhof, R., Gruber, N., Hauck, J., Müller, J. D., Bopp, L., Carroll, D., Carter, B., Chau, T., Doney, S. C., Gehlen, M., Gloege, L., Gregor, L., Henson, S., Kim, J. H., Iida, Y., Ilyina, T., Landschützer, P., Le Quéré, C., Munro, D., Nissen, C., Patara, L., Pérez, F. F., Resplandy, L., Rodgers, K. B., Schwinger, J., Séférian, R., Sicardi, V., Terhaar, J., Triñanes, J., Tsujino, H., Watson, A., Yasunaka, S., Zeng, J. (2023). Magnitude, trends, and variability of the Global Ocean Carbon Sink from 1985 to 2018. Global Biogeochemical Cycles, 37(10). https://doi.org/10.1029/2023gb007780, 2023.</t>
  </si>
  <si>
    <t>DeVries et al. (2023)</t>
  </si>
  <si>
    <t>https://doi.org/10.1029/2023gb007780</t>
  </si>
  <si>
    <t>https://i.ibb.co/NgXDHSQh/gbc21476-fig-0001-m.jpg</t>
  </si>
  <si>
    <t>https://zenodo.org/records/7990823</t>
  </si>
  <si>
    <t>1985-2018</t>
  </si>
  <si>
    <t>Open ocean, Coastal ocean</t>
  </si>
  <si>
    <t xml:space="preserve">Quality-controlled data compilation with a harmonized horizontal grid and temporal resolution </t>
  </si>
  <si>
    <t xml:space="preserve">In the context of the second iteration of the project REgional Carbon Cycle Assessment and Processes (RECCAP2), the ocean carbon community compiled, quality-controlled, and harmonized (in the sense of providing output on the same regular grid at the same spatial and temporal resolution) 12 GOBMs simulations, 11 pCO2 products, one ocean interior DIC product, and three data assimilation models to constrain the ocean carbon sink between 1985 and 2018. The RECCAP2 synthesis effort stands as a distinct but complementary resource to the GCB project (Friedlingstein et al., 2025), which primarily focuses on anthropogenically perturbed surface CO2 fluxes from a global budgeting perspective. The individual chapters of RECCAP2 were published in this special issue of Global Biogeochemical Cycles: https://agupubs.onlinelibrary.wiley.com/doi/toc/10.1002/(ISSN)2169-8961.RECCAP2. The data products of this assessment are available on a 1° × 1° horizontal grid, with monthly resolution for surface ocean variables such as air–sea CO2 fluxes, and annual resolution for interior ocean variables, such as DIC content. </t>
  </si>
  <si>
    <t>judith.hauck@awi.de</t>
  </si>
  <si>
    <t>Global Carbon Budget</t>
  </si>
  <si>
    <t>Friedlingstein, P., O’Sullivan, M., Jones, M. W., Andrew, R. M., Hauck, J., Landschützer, P., Le Quéré, C., Li, H., Luijkx, I. T., Olsen, A., Peters, G. P., Peters, W., Pongratz, J., Schwingshackl, C., Sitch, S., Canadell, J. G., Ciais, P., Jackson, R. B., Alin, S. R., … Zeng, J. (2025). Global Carbon Budget 2024. Earth System Science Data, 17(3), 965–1039. https://doi.org/10.5194/essd-17-965-2025</t>
  </si>
  <si>
    <t>Friedlingstein et al. (2025)</t>
  </si>
  <si>
    <t>https://doi.org/10.5194/essd-17-965-2025</t>
  </si>
  <si>
    <t>https://i.ibb.co/TxwRM1tp/GCP.jpg</t>
  </si>
  <si>
    <t>https://doi.org/10.5281/zenodo.17579108</t>
  </si>
  <si>
    <t>1959-2024</t>
  </si>
  <si>
    <t>Annually updated and quality controlled data sets. Availability of monthly 4D ocean model output.</t>
  </si>
  <si>
    <t>Global Carbon Budget: The GCB collects annually updated estimates of the ocean carbon sink from currently nine fCO2-products and ten GOBMs for the period 1959 to the past calendar year (Friedlingstein et al., 2025, https://globalcarbonbudget.org/gcb-2024). In contrast to Earth System Models, the GOBMs are here forced with atmospheric reanalysis that ingested atmosphere and ocean observations and are thus thought to be closer to the observed climate. Gridded fields are provided on a 1° × 1° horizontal grid and monthly resolution. In addition, globally and regionally integrated air-sea CO2 fluxes from the native model grids are provided. Globally integrated time-series are adjusted for full ocean coverage and model bias and drift and are available for each individual fCO2-product and GOBM (https://globalcarbonbudget.org/download/1442/?tmstv=1731323337). The model data goes well beyond surface fluxes and includes data to analyze drivers of carbon fluxes, including several 3D variables. The model data request has been updated since RECCAP2 and also provides, for example, monthly interior ocean data of DIC, TA, nutrients and DO. The GOBM data request was also updated to have all variables available that are needed to serve as a testbed for fCO2-products (e.g., sea surface height).  Gridded surface data of sea surface fugacity and air-sea CO2 flux of all fCO2-products and GOBMs as used in the latest release of GCB (2024) are published on Zenodo (https://zenodo.org/records/14639761, Hauck et al., 2025). All other GOBM output is available via https://globalcarbonbudgetdata.org/closed-access-requests.html.</t>
  </si>
  <si>
    <t>Model-based</t>
  </si>
  <si>
    <t>Decadal Trends in the Ocean Carbon Sink</t>
  </si>
  <si>
    <t xml:space="preserve">DeVries, T., Le Quéré, C., Andrews, O., Berthet, S., Hauck, J., Ilyina, T., Landschützer, P., Lenton, A., Lima, I. D., Nowicki, M., Schwinger, J., and Séférian, R.: Decadal trends in the ocean carbon sink, Proceedings of the National Academy of Sciences, 116(24), 11646–11651,  https://doi.org/10.1073/pnas.1900371116, 2019. </t>
  </si>
  <si>
    <t>DeVries et al. (2019)</t>
  </si>
  <si>
    <t>https://doi.org/10.1073/pnas.1900371116</t>
  </si>
  <si>
    <t>https://i.ibb.co/RTWv9Yp9/pnas-1900371116fig01.jpg</t>
  </si>
  <si>
    <t>https://doi.org/10.6084/m9.figshare.8091161.v1</t>
  </si>
  <si>
    <t>yearly</t>
  </si>
  <si>
    <t>1959 - 2016</t>
  </si>
  <si>
    <t>Climate variability drove weakened ocean CO2 uptake in the 1990s, and strengthened CO2 uptake in the 2000s</t>
  </si>
  <si>
    <t xml:space="preserve">The DeVries et al. (2019) analysis examines decadal trends in global and regional air-sea CO2 fluxes from a variety of ocean biogeochemical models that contributed to the GCB (see No. 60). Three sets of model simulations were performed. Simulation A uses variable climate forcing (e.g., variable wind stress, heat and freshwater fluxes) and observed atmospheric CO2 forcing, Simulation B uses constant (repeated) climate forcing and observed atmospheric CO2, and simulation C uses both constant climate forcing and constant atmospheric CO2 concentrations. With these simulations, the authors partitioned decadal trends in ocean CO2 uptake into those driven by climate variability and those driven by atmospheric CO2. They found that climate variability drove a weakening trend of the ocean carbon sink during the 1990s, and a strengthening trend during the first decade of the 2000s. The magnitude of these trends agreed with those of an OCIM that was trained to replicate tracer data from the 1990s and 2000s (DeVries et al., 2017), indicating that the decadal trends may be driven by variability in ocean circulation. </t>
  </si>
  <si>
    <t>ECCO-Darwin</t>
  </si>
  <si>
    <t>Carroll, D., Menemenlis, D., Adkins, J. F., Bowman, K. W., Brix, H., &amp; Dutkiewicz, S., et al. (2020). The ECCO-Darwin data-assimilative global ocean biogeochemistry model: Estimates of seasonal to multidecadal surface ocean pCO2 and air-sea CO2 flux. Journal of Advances in Modeling Earth Systems, 12, e2019MS001888. https://doi.org/10.1029/2019MS001888</t>
  </si>
  <si>
    <t>Carroll et al. (2020)</t>
  </si>
  <si>
    <t>https://doi.org/10.5281/zenodo.10627664</t>
  </si>
  <si>
    <t>https://ecco-group.org/images/ecco_rotator01.jpg</t>
  </si>
  <si>
    <t>https://data.nas.nasa.gov/ecco/</t>
  </si>
  <si>
    <t>0.33° x 0.33°</t>
  </si>
  <si>
    <t>daily, monthly</t>
  </si>
  <si>
    <t>1992 - 2018</t>
  </si>
  <si>
    <t>Model-data synthesis product based on the Estimating the Circulation and Climate of the Ocean (ECCO) ocean state estimate. Fully-closed, physically-consistent 3-D biogeochemical budgets.</t>
  </si>
  <si>
    <t>Carroll et al. (2022) used the Estimating the Circulation and Climate of the Ocean-Darwin (ECCO-Darwin) global-ocean biogeochemistry state estimate to generate a data-constrained DIC budget and investigate how spatiotemporal variability in advection and mixing, air-sea CO2 flux, and the biological pump have modulated the ocean sink for 1995–2018. ECCO-Darwin assimilates ocean circulation and physical tracers, including temperature, salinity, and sea ice, derived from the Estimating the Circulation and Climate of the Ocean (ECCO) LLC270 global-ocean and sea-ice data synthesis (Zhang et al., 2018). Additionally, it assimilates biogeochemical observations encompassing the cycling of carbon, nitrogen, phosphorus (PO 4 ), iron (Fe), silica (SiO 2 ), DO, and TA. This inclusive approach enhances the model’s fidelity by aligning it with a diverse array of observations. All ECCO-Darwin model output is available on the ECCO Data Portal: https://data.nas.nasa.gov/ecco/. The model code and platform-independent instructions for running ECCO-Darwin simulations can be found at: https://github.com/MITgcm-contrib/ecco_darwin.</t>
  </si>
  <si>
    <t>Surface pH and Revelle Factor</t>
  </si>
  <si>
    <t xml:space="preserve">Jiang, L.-Q., Carter, B. R., Feely, R. A., Lauvset, S., and Olsen, A.: Surface ocean pH and buffer capacity: Past, present and future, Scientific Reports, 9(1), 18624, https://doi.org/10.1038/s41598-019-55039-4, 2019. </t>
  </si>
  <si>
    <t>Jiang et al. (2019)</t>
  </si>
  <si>
    <t>https://doi.org/10.1038/s41598-019-55039-4</t>
  </si>
  <si>
    <t>https://media.springernature.com/lw685/springer-static/image/art%3A10.1038%2Fs41598-019-55039-4/MediaObjects/41598_2019_55039_Fig6_HTML.png</t>
  </si>
  <si>
    <t xml:space="preserve">https://www.ncei.noaa.gov/data/oceans/ncei/ocads/metadata/0206289.html </t>
  </si>
  <si>
    <t>decadal, climatology</t>
  </si>
  <si>
    <t>1770 - 2100</t>
  </si>
  <si>
    <t>A model-observation fusion product for pH, acidity and Revelle Factor, leveraging GFDL-ESM2M and SOCATv6</t>
  </si>
  <si>
    <t xml:space="preserve">Jiang et al. (2019a) produced a high-resolution (1°×1°) data product delineating regionally varying view of global surface ocean pH, acidity, and Revelle Factor (RF) from 1770 to 2100 by amalgamating recent observational seawater CO2 data from the SOCAT database (Version 6, 1991–2018, ~23 million observations) (Bakker et al., 2016), and temporal trends at individual locations of the global surface ocean from an Earth System Model, i.e., GFDL-ESM2M (Dunne et al., 2013). The calculations were conducted under historical atmospheric CO2 levels (pre-2005) and four Representative Concentrations Pathways (post-2005) corresponding to the Intergovernmental Panel on Climate Change (IPCC)’s 5th Assessment Report, specifically RCP2.6, RCP4.5, RCP6.0, and RCP8.5. </t>
  </si>
  <si>
    <t xml:space="preserve">Surface OA Indicators </t>
  </si>
  <si>
    <t>Jiang, L., Dunne, J., Carter, B. R., Tjiputra, J. F., Terhaar, J., Sharp, J. D., Olsen, A., Alin, S., Bakker, D. C., Feely, R. A., Gattuso, J., Hogan, P., Ilyina, T., Lange, N., Lauvset, S. K., Lewis, E. R., Lovato, T., Palmieri, J., Santana‐Falcón, Y., Schwinger, J., Séférian, R., Strand, G., Swart, N., Tanhua, T., Tsujino, H., Wanninkhof, R., Watanabe, M., Yamamoto, A., and Ziehn, T.: Global surface ocean acidification indicators from 1750 to 2100, Journal of Advances in Modeling Earth Systems, 15(3), https://doi.org/10.1029/2022ms003563, 2023.</t>
  </si>
  <si>
    <t>Jiang et al. (2023)</t>
  </si>
  <si>
    <t>https://doi.org/10.1029/2022MS003563</t>
  </si>
  <si>
    <t>https://i.ibb.co/27sB2HLw/jame21817-fig-0008-m.jpg</t>
  </si>
  <si>
    <t>https://www.ncei.noaa.gov/data/oceans/ncei/ocads/metadata/0259391.html</t>
  </si>
  <si>
    <t>1750 - 2100</t>
  </si>
  <si>
    <t>A model-observation fusion product for all major OA indicators, leveraging a consortium of 14 Earth System Models and 3 observational data products</t>
  </si>
  <si>
    <t xml:space="preserve">Jiang et al. (2023) developed a comprehensive model-data fusion product that delineates the trajectory of 10 OA indicators: fCO2, pH, [H+]total, [H+]free [CO32-], Ωarag, Ωcalc, DIC, TA, and RF, as well as temperature and salinity at all locations of the global surface ocean from 1750 to 2100. This product marks a significant breakthrough in OA forecasting by refining temporal trends with data from 14 Earth System Models (ESMs) within CMIP6, and by applying bias and drift corrections from three updated observational ocean carbonate system data products: SOCAT (Version 2022) (Bakker et al., 2016), GLODAPv2.2022 (Lauvset et al., 2022), and CODAP-NA (Jiang et al., 2021). This dataset offers 10-year averages on a 1° × 1° global surface ocean grid, capturing trends from preindustrial times (1750), through historical conditions (1850–2010), and projects future conditions to 2100 across five Shared Socioeconomic Pathways: SSP1-1.9, SSP1-2.6, SSP2-4.5, SSP3-7.0, and SSP5-8.5. </t>
  </si>
  <si>
    <t>Simulated and Constrained Southern Ocean Carbon Sink</t>
  </si>
  <si>
    <t>Terhaar, Jens, Frölicher, T. L., &amp; Joos, F.: Southern Ocean anthropogenic carbon sink constrained by sea surface salinity, Science Advances, 7(18), https://doi.org/10.1126/sciadv.abd5964, 2021.</t>
  </si>
  <si>
    <t>Terhaar et al. (2021)</t>
  </si>
  <si>
    <t>https://doi.org/10.1126/sciadv.abd5964</t>
  </si>
  <si>
    <t>https://www.seanoe.org/data/00927/103934/illustration.gif</t>
  </si>
  <si>
    <t>https://www.seanoe.org/data/00927/103938/</t>
  </si>
  <si>
    <t>1850-2100</t>
  </si>
  <si>
    <t>Open ocean, Regional</t>
  </si>
  <si>
    <t>A constrained estimate of the ocean carbon sink based on the simulated carbon sink from CMIP5 and CMIP6 models and constrained with observations of the ocean physics and carbonate chemistry</t>
  </si>
  <si>
    <t>These two datasets include spatially-integrated and annually averaged values for the ocean carbon sink from 1850 to 2100 for different scenarios over the 21st century for the global ocean (Terhaar et al., 2022a, 2022b) and the Southern Ocean (Terhaar et al., 2021b, 2021c). All results are based on CMIP5 and CMIP6 models. For the global ocean carbon sink, values are available for SSP1-2.6, SSP2-4.5, and SSP5-8.5. For the Southern Ocean, values are also available for SSP1-2.6, SSP2-4.5, and SSP5-8.5 and additionally also for RCP2.6, RCP4.5, and RCP8.5. In addition, to the raw simulated values, constrained estimates of the annually averaged ocean carbon sink estimates are available. These constrained estimates adjusted the simulated carbon sink estimates for biases on the ocean’s circulation and surface carbonate chemistry (see Terhaar et al., 2021b, 2022a for details). It is recommended to use the constrained estimates. The datasets are available at https://doi.org/10.17882/103934 and https://doi.org/10.17882/103938.</t>
  </si>
  <si>
    <t>Simulated and Constrained Global Ocean Carbon Sink</t>
  </si>
  <si>
    <t>Terhaar, J., Frölicher, T. L., and Joos, F.: Observation-constrained estimates of the Global Ocean Carbon Sink from earth system models, Biogeosciences, 19(18), 4431–4457, https://doi.org/10.5194/bg-19-4431-2022, 2022.</t>
  </si>
  <si>
    <t>Terhaar et al., (2022)</t>
  </si>
  <si>
    <t>https://doi.org/10.5194/bg-19-4431-2022</t>
  </si>
  <si>
    <t>https://www.seanoe.org/data/00927/103934</t>
  </si>
  <si>
    <t>Composite model-based estimate of the ocean carbon sink from 1959 to 2022</t>
  </si>
  <si>
    <t>Terhaar, J.: Composite model-based estimate of the ocean carbon sink from 1959 to 2022, Biogeosciences, 22, 1631–1649, https://doi.org/10.5194/bg-22-1631-2025, 2025.</t>
  </si>
  <si>
    <t>Terhaar (2025)</t>
  </si>
  <si>
    <t>https://doi.org/10.5194/bg-22-1631-2025</t>
  </si>
  <si>
    <t>https://upload.wikimedia.org/wikipedia/commons/thumb/9/9c/Ocean_water.jpg/960px-Ocean_water.jpg</t>
  </si>
  <si>
    <t>1959-2022</t>
  </si>
  <si>
    <t>A model-based estimate of the ocean carbon sink combining the respective strengths of hindcast simulations and simulations by coupled earth system models</t>
  </si>
  <si>
    <t>This data product, developed by Terhaar (2025), presents an estimate of the global ocean carbon sink by combining forced hindcast simulations and simulations made by coupled earth system models. Hindcast models manage to adequately simulate the short-term variability of the ocean, but struggle to simulate the long-term climate change trend (Huguenin et al., 2022; Takano et al., 2023; Hollitzer et al., 2024). Earth system models cannot simulate the observed short-term variability by definition, but accurately simulate long-term trends (Takano et al., 2023; Hollitzer et al., 2024). The composite model-based estimate combines the simulated short-term variability from hindcast simulations and the long-term trend from earth system models. The output is supplied with the associated study (https://bg.copernicus.org/articles/22/1631/2025/) (Terhaar, 2025).</t>
  </si>
  <si>
    <t>pCIBR_Clim and pCIBR_Int</t>
  </si>
  <si>
    <t>Ghoshal, P.K., Joshi, A. &amp; Chakraborty, K. An improved long-term high-resolution surface pCO2 data product for the Indian Ocean using machine learning. Sci Data 12, 577 (2025). https://doi.org/10.1038/s41597-025-04914-z</t>
  </si>
  <si>
    <t>Ghoshal et al. (2025)</t>
  </si>
  <si>
    <t>https://doi.org/10.1038/s41597-025-04914-z</t>
  </si>
  <si>
    <t>https://i.ibb.co/8DtF8Zz4/p-CIBR-p-CO2-DECADAL.png</t>
  </si>
  <si>
    <t>https://www.ncei.noaa.gov/data/oceans/ncei/ocads/metadata/0307788.html</t>
  </si>
  <si>
    <t>1980-2019</t>
  </si>
  <si>
    <t>This product uses a hybrid approach, applying machine learning to correct 1/12° ocean–ecosystem model outputs with SOCAT (1984–2019) and SAS (1991–2019) observations for the Indian Ocean.</t>
  </si>
  <si>
    <t>A machine learning (ML) model is employed to correct biases in surface pCO2 simulations generated by the INCOIS-BIO-ROMS model (pCO2model) over the period 1980–2019. The ML model is trained using the differences between observed (pCO2obs) and modeled pCO2 to estimate the spatio-temporal deviations (pCO2obs − pCO2model). These interannually and climatologically varying deviations are then added back to the original model output, resulting in two improved data products: pCIBR_Int and pCIBR_Clim (Ghoshal et al., 2025). Evaluation against independent datasets, including moored observations (BOBOA), the gridded SOCAT product, and other ML-based pCO2 products (such as CMEMS-LSCEv2 and OceanSODA), demonstrates a significant improvement of approximately 40% ± 3.31% in RMSE compared to the original model. This high-resolution (0.083° × 0.083°), long-term monthly pCO2 data product is available from the INCOIS Portal (https://las.incois.gov.in) and from OCADS: https://www.ncei.noaa.gov/data/oceans/ncei/ocads/metadata/0307788.html (Ghoshal et al., 2025).</t>
  </si>
  <si>
    <t>INCOIS‐BIO‐ROMS Surface pCO2 and pH</t>
  </si>
  <si>
    <t xml:space="preserve"> Chakraborty, K., Joshi, A. P., Ghoshal, P. K., Baduru, B., Valsala, V., Sarma, V. V. S. S., et al. (2024). Indian Ocean acidification and its driving mechanisms over the last four decades (1980–2019). Global Biogeochemical Cycles, 38, e2024GB008139. https://doi.org/10.1029/2024GB008139</t>
  </si>
  <si>
    <t>Chakraborty et al. (2024)</t>
  </si>
  <si>
    <t>https://doi.org/10.1029/2024GB008139</t>
  </si>
  <si>
    <t>https://i.ibb.co/wFc3f1bY/p-H-DECADAL.png</t>
  </si>
  <si>
    <t>https://www.ncei.noaa.gov/data/oceans/ncei/ocads/metadata/0307663.html</t>
  </si>
  <si>
    <t>INCOIS-BIO-ROMS, developed following the RECCAP-2 Ocean Modeling Protocol, integrates model simulations with field and reconstructed data to enhance understanding of Ocean Acidification in the Indian Ocean.</t>
  </si>
  <si>
    <t>INCOIS‐BIO‐ROMS Simulated Surface pCO2 and pH for the Indian Ocean: This data product presents a comprehensive assessment of OA trends across the Indian Ocean and its sub-regions from 1980 to 2019, leveraging outputs from a regional, high-resolution coupled ocean-ecosystem model (INCOIS-BIO-ROMS), an offline biogeochemical (BGC) model, and two machine learning-based products (Chakraborty et al., 2024). INCOIS-BIO-ROMS, configured at 1/12° resolution for the Indian Ocean, was developed in accordance with the “RECCAP-2: Ocean Modeling Protocol” for regional oceans. The INCOIS‐BIO‐ROMS simulated surface pCO2 and pH data product is available from the INCOIS Portal (https://las.incois.gov.in) and from OCADS: https://www.ncei.noaa.gov/data/oceans/ncei/ocads/metadata/0307663.html (Chakraborty et al., 2025).</t>
  </si>
  <si>
    <t>tdevries@geog.ucsb.edu</t>
  </si>
  <si>
    <t>Ocean Circulation Inverse Model (OCIM2-48L)</t>
  </si>
  <si>
    <t>DeVries, T. (2022). Atmospheric CO2 and sea surface temperature variability cannot explain recent decadal variability of the ocean CO2 sink. Geophysical Research Letters, 49(7), e2021GL096018.</t>
  </si>
  <si>
    <t>DeVries (2022b)</t>
  </si>
  <si>
    <t>https://doi.org/10.1029/2021GL096018</t>
  </si>
  <si>
    <t>https://i.ibb.co/Xxbcrf2b/Screenshot-2025-11-14-at-08-56-35.png</t>
  </si>
  <si>
    <t>https://figshare.com/articles/dataset/OCIM2-48L_abiotic_ocean_carbon_cycle_model_output/19341974</t>
  </si>
  <si>
    <t>2° x 2°</t>
  </si>
  <si>
    <t>1780-2020</t>
  </si>
  <si>
    <t>Data-constrained estimate of anthropogenic CO2 accumulation in the ocean from inverting physical ocean circulation tracers</t>
  </si>
  <si>
    <t>fa-solid fa-globe</t>
  </si>
  <si>
    <t>Spatial domains</t>
  </si>
  <si>
    <t>fa-solid fa-hourglass-start</t>
  </si>
  <si>
    <t>fa-solid fa-ruler-horizontal</t>
  </si>
  <si>
    <t>fa-solid fa-calendar-days</t>
  </si>
  <si>
    <t>data-category</t>
  </si>
  <si>
    <t>card-title</t>
  </si>
  <si>
    <t>card-subheading</t>
  </si>
  <si>
    <t>card-image</t>
  </si>
  <si>
    <t>card-attribute.icon</t>
  </si>
  <si>
    <t>card-attribute.label</t>
  </si>
  <si>
    <t>card-attribute.value</t>
  </si>
  <si>
    <t>card-summary</t>
  </si>
  <si>
    <t>card-citation</t>
  </si>
  <si>
    <t>card-citation-link</t>
  </si>
  <si>
    <t>card-data-access</t>
  </si>
  <si>
    <t>card-detail.title</t>
  </si>
  <si>
    <t>card-detail.content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</si>
</sst>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00°"/>
  </numFmts>
  <fonts count="15">
    <font>
      <sz val="10.0"/>
      <color rgb="FF000000"/>
      <name val="Arial"/>
      <scheme val="minor"/>
    </font>
    <font>
      <color theme="1"/>
      <name val="Arial"/>
      <scheme val="minor"/>
    </font>
    <font>
      <u/>
      <color rgb="FF000000"/>
      <name val="Roboto"/>
    </font>
    <font>
      <u/>
      <color rgb="FF0000FF"/>
      <name val="Roboto"/>
    </font>
    <font>
      <u/>
      <color rgb="FF0000FF"/>
      <name val="Roboto"/>
    </font>
    <font>
      <u/>
      <color rgb="FF434343"/>
      <name val="Roboto"/>
    </font>
    <font>
      <color rgb="FF000000"/>
      <name val="Roboto"/>
    </font>
    <font>
      <u/>
      <color rgb="FF222222"/>
      <name val="&quot;Helvetica Neue&quot;"/>
    </font>
    <font>
      <color rgb="FF000000"/>
      <name val="Arial"/>
      <scheme val="minor"/>
    </font>
    <font>
      <u/>
      <color rgb="FF0000FF"/>
      <name val="Roboto"/>
    </font>
    <font>
      <u/>
      <sz val="11.0"/>
      <color rgb="FF555555"/>
      <name val="Arial"/>
    </font>
    <font>
      <u/>
      <color rgb="FF0000FF"/>
      <name val="Roboto"/>
    </font>
    <font>
      <b/>
      <sz val="10.0"/>
      <color rgb="FF000000"/>
      <name val="Arial"/>
      <scheme val="minor"/>
    </font>
    <font>
      <b/>
      <sz val="10.0"/>
      <color theme="1"/>
      <name val="Arial"/>
      <scheme val="minor"/>
    </font>
    <font>
      <u/>
      <sz val="10.0"/>
      <color rgb="FF000000"/>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49" xfId="0" applyAlignment="1" applyFont="1" applyNumberFormat="1">
      <alignment horizontal="left" shrinkToFit="0" vertical="center" wrapText="0"/>
    </xf>
    <xf borderId="0" fillId="0" fontId="1" numFmtId="0" xfId="0" applyAlignment="1" applyFont="1">
      <alignment readingOrder="0" shrinkToFit="0" vertical="center" wrapText="0"/>
    </xf>
    <xf borderId="0" fillId="0" fontId="1" numFmtId="0" xfId="0" applyAlignment="1" applyFont="1">
      <alignment horizontal="left"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2" fontId="7" numFmtId="0" xfId="0" applyAlignment="1" applyFill="1" applyFont="1">
      <alignment readingOrder="0" shrinkToFit="0" vertical="center" wrapText="0"/>
    </xf>
    <xf borderId="0" fillId="0" fontId="8" numFmtId="0" xfId="0" applyAlignment="1" applyFont="1">
      <alignment readingOrder="0" shrinkToFit="0" vertical="center" wrapText="0"/>
    </xf>
    <xf borderId="0" fillId="0" fontId="1" numFmtId="0" xfId="0" applyAlignment="1" applyFont="1">
      <alignment shrinkToFit="0" vertical="center" wrapText="0"/>
    </xf>
    <xf borderId="0" fillId="0" fontId="9" numFmtId="0" xfId="0" applyAlignment="1" applyFont="1">
      <alignment horizontal="right" readingOrder="0" shrinkToFit="0" vertical="center" wrapText="0"/>
    </xf>
    <xf borderId="0" fillId="0" fontId="1" numFmtId="49" xfId="0" applyAlignment="1" applyFont="1" applyNumberFormat="1">
      <alignment horizontal="left" readingOrder="0" shrinkToFit="0" vertical="center" wrapText="0"/>
    </xf>
    <xf borderId="0" fillId="2" fontId="10" numFmtId="0" xfId="0" applyAlignment="1" applyFont="1">
      <alignment horizontal="left" readingOrder="0" shrinkToFit="0" vertical="center" wrapText="0"/>
    </xf>
    <xf borderId="0" fillId="0" fontId="1" numFmtId="49"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horizontal="left" readingOrder="0"/>
    </xf>
    <xf borderId="0" fillId="0" fontId="0" numFmtId="0" xfId="0" applyAlignment="1" applyFont="1">
      <alignment horizontal="left" readingOrder="0" shrinkToFit="0" vertical="bottom" wrapText="0"/>
    </xf>
    <xf borderId="0" fillId="0" fontId="1" numFmtId="0" xfId="0" applyAlignment="1" applyFont="1">
      <alignment readingOrder="0"/>
    </xf>
    <xf borderId="0" fillId="0" fontId="12" numFmtId="0" xfId="0" applyAlignment="1" applyFont="1">
      <alignment horizontal="left" readingOrder="0" shrinkToFit="0" vertical="bottom" wrapText="0"/>
    </xf>
    <xf borderId="0" fillId="0" fontId="13" numFmtId="0" xfId="0" applyAlignment="1" applyFont="1">
      <alignment horizontal="left" readingOrder="0"/>
    </xf>
    <xf borderId="0" fillId="0" fontId="14" numFmtId="0" xfId="0" applyAlignment="1" applyFont="1">
      <alignment horizontal="left" readingOrder="0" shrinkToFit="0" vertical="bottom" wrapText="0"/>
    </xf>
    <xf borderId="0" fillId="0" fontId="0" numFmtId="165" xfId="0" applyAlignment="1" applyFont="1" applyNumberFormat="1">
      <alignment horizontal="left" readingOrder="0" shrinkToFit="0" vertical="bottom" wrapText="0"/>
    </xf>
    <xf borderId="0" fillId="0" fontId="0" numFmtId="49" xfId="0" applyAlignment="1" applyFont="1" applyNumberFormat="1">
      <alignment horizontal="left" readingOrder="0" shrinkToFit="0" vertical="bottom" wrapText="0"/>
    </xf>
  </cellXfs>
  <cellStyles count="1">
    <cellStyle xfId="0" name="Normal" builtinId="0"/>
  </cellStyles>
  <dxfs count="9">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7E1CD"/>
          <bgColor rgb="FFB7E1CD"/>
        </patternFill>
      </fill>
      <border/>
    </dxf>
    <dxf>
      <font/>
      <fill>
        <patternFill patternType="solid">
          <fgColor rgb="FFEA9999"/>
          <bgColor rgb="FFEA9999"/>
        </patternFill>
      </fill>
      <border/>
    </dxf>
    <dxf>
      <font/>
      <fill>
        <patternFill patternType="solid">
          <fgColor rgb="FFFFE599"/>
          <bgColor rgb="FFFFE599"/>
        </patternFill>
      </fill>
      <border/>
    </dxf>
    <dxf>
      <font/>
      <fill>
        <patternFill patternType="solid">
          <fgColor rgb="FFA4C2F4"/>
          <bgColor rgb="FFA4C2F4"/>
        </patternFill>
      </fill>
      <border/>
    </dxf>
  </dxfs>
  <tableStyles count="1">
    <tableStyle count="4" pivot="0" name="google_for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77" displayName="co2_datasets_form" name="co2_datasets_form" id="1">
  <tableColumns count="18">
    <tableColumn name="Timestamp" id="1"/>
    <tableColumn name="Email Address" id="2"/>
    <tableColumn name="Data category" id="3"/>
    <tableColumn name="Product name" id="4"/>
    <tableColumn name="Reference" id="5"/>
    <tableColumn name="Citation" id="6"/>
    <tableColumn name="Citation DOI" id="7"/>
    <tableColumn name="Image URL" id="8"/>
    <tableColumn name="Data access link" id="9"/>
    <tableColumn name="Spatial resolution" id="10"/>
    <tableColumn name="Temporal resolution" id="11"/>
    <tableColumn name="Period" id="12"/>
    <tableColumn name="Spatial domain" id="13"/>
    <tableColumn name="Sampling type" id="14"/>
    <tableColumn name="Highlights" id="15"/>
    <tableColumn name="Description" id="16"/>
    <tableColumn name="Citation DOI status" id="17"/>
    <tableColumn name="Data access status" id="18"/>
  </tableColumns>
  <tableStyleInfo name="google_for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oogle.com/url?q=https://doi.org/10.5194/bg-21-1639-2024&amp;sa=D&amp;source=editors&amp;ust=1763503528354474&amp;usg=AOvVaw15hMAVXWtu1Hw0XnR_yM0L" TargetMode="External"/><Relationship Id="rId190" Type="http://schemas.openxmlformats.org/officeDocument/2006/relationships/hyperlink" Target="https://www.ncei.noaa.gov/data/oceans/ncei/ocads/metadata/0270962.html" TargetMode="External"/><Relationship Id="rId42" Type="http://schemas.openxmlformats.org/officeDocument/2006/relationships/hyperlink" Target="https://www.ncei.noaa.gov/access/ocean-carbon-acidification-data-system/oceans/SalishCruises_DataProduct.html" TargetMode="External"/><Relationship Id="rId41" Type="http://schemas.openxmlformats.org/officeDocument/2006/relationships/hyperlink" Target="https://bg.copernicus.org/articles/21/1639/2024/bg-21-1639-2024-avatar-web.png" TargetMode="External"/><Relationship Id="rId44" Type="http://schemas.openxmlformats.org/officeDocument/2006/relationships/hyperlink" Target="https://i.ibb.co/4wb5JLp1/fig1-map-francoetal2021.png" TargetMode="External"/><Relationship Id="rId194" Type="http://schemas.openxmlformats.org/officeDocument/2006/relationships/hyperlink" Target="https://doi.org/10.1029/2023gb007780" TargetMode="External"/><Relationship Id="rId43" Type="http://schemas.openxmlformats.org/officeDocument/2006/relationships/hyperlink" Target="https://doi.org/10.1029/2020GB006829" TargetMode="External"/><Relationship Id="rId193" Type="http://schemas.openxmlformats.org/officeDocument/2006/relationships/hyperlink" Target="https://zenodo.org/records/8280457" TargetMode="External"/><Relationship Id="rId46" Type="http://schemas.openxmlformats.org/officeDocument/2006/relationships/hyperlink" Target="https://doi.org/10.1029/2020jc016124" TargetMode="External"/><Relationship Id="rId192" Type="http://schemas.openxmlformats.org/officeDocument/2006/relationships/hyperlink" Target="https://seaflux.readthedocs.io/en/latest/_static/seaflux_logo.png" TargetMode="External"/><Relationship Id="rId45" Type="http://schemas.openxmlformats.org/officeDocument/2006/relationships/hyperlink" Target="https://www.ncei.noaa.gov/data/oceans/ncei/ocads/metadata/0234342.html" TargetMode="External"/><Relationship Id="rId191" Type="http://schemas.openxmlformats.org/officeDocument/2006/relationships/hyperlink" Target="https://doi.org/10.5194/essd-2021-16" TargetMode="External"/><Relationship Id="rId48" Type="http://schemas.openxmlformats.org/officeDocument/2006/relationships/hyperlink" Target="https://www.seanoe.org/data/00927/103920/" TargetMode="External"/><Relationship Id="rId187" Type="http://schemas.openxmlformats.org/officeDocument/2006/relationships/hyperlink" Target="http://doi.org/10.12157/IOCAS.20230720.001" TargetMode="External"/><Relationship Id="rId47" Type="http://schemas.openxmlformats.org/officeDocument/2006/relationships/hyperlink" Target="https://www.seanoe.org/data/00927/103920/illustration.gif" TargetMode="External"/><Relationship Id="rId186" Type="http://schemas.openxmlformats.org/officeDocument/2006/relationships/hyperlink" Target="https://www.google.com/url?q=https://appletmsdc.qdio.ac.cn//files/metadata/images/2025-11-07_1681888486837194754/DATA2023000009_zhongguorong_1.jpg&amp;sa=D&amp;source=editors&amp;ust=1762499254378507&amp;usg=AOvVaw2RRzqyI9_J46X_jZfI0UxR" TargetMode="External"/><Relationship Id="rId185" Type="http://schemas.openxmlformats.org/officeDocument/2006/relationships/hyperlink" Target="http://doi.org/10.12157/IOCAS.20230720.001" TargetMode="External"/><Relationship Id="rId49" Type="http://schemas.openxmlformats.org/officeDocument/2006/relationships/hyperlink" Target="https://doi.org/10.3389/fmars.2023.1289931" TargetMode="External"/><Relationship Id="rId184" Type="http://schemas.openxmlformats.org/officeDocument/2006/relationships/hyperlink" Target="https://github.com/BRCScienceProducts/PreformedPropertyEstimates" TargetMode="External"/><Relationship Id="rId189" Type="http://schemas.openxmlformats.org/officeDocument/2006/relationships/hyperlink" Target="https://essd.copernicus.org/articles/16/3383/2024/essd-16-3383-2024-avatar-web.png" TargetMode="External"/><Relationship Id="rId188" Type="http://schemas.openxmlformats.org/officeDocument/2006/relationships/hyperlink" Target="https://doi.org/10.5194/essd-16-3383-2024" TargetMode="External"/><Relationship Id="rId31" Type="http://schemas.openxmlformats.org/officeDocument/2006/relationships/hyperlink" Target="https://doi.org/10.5194/essd-16-647-2024" TargetMode="External"/><Relationship Id="rId30" Type="http://schemas.openxmlformats.org/officeDocument/2006/relationships/hyperlink" Target="https://doi.org/10.20350/digitalCSIC/12498" TargetMode="External"/><Relationship Id="rId33" Type="http://schemas.openxmlformats.org/officeDocument/2006/relationships/hyperlink" Target="https://www.ncei.noaa.gov/data/oceans/ncei/ocads/metadata/0277034.html" TargetMode="External"/><Relationship Id="rId183" Type="http://schemas.openxmlformats.org/officeDocument/2006/relationships/hyperlink" Target="https://i.ibb.co/S488KKjG/gbc21075-fig-0003-m.jpg" TargetMode="External"/><Relationship Id="rId32" Type="http://schemas.openxmlformats.org/officeDocument/2006/relationships/hyperlink" Target="https://essd.copernicus.org/articles/16/647/2024/essd-16-647-2024-avatar-web.png" TargetMode="External"/><Relationship Id="rId182" Type="http://schemas.openxmlformats.org/officeDocument/2006/relationships/hyperlink" Target="https://zenodo.org/records/3745002" TargetMode="External"/><Relationship Id="rId35" Type="http://schemas.openxmlformats.org/officeDocument/2006/relationships/hyperlink" Target="https://i.ibb.co/yc5J25Q6/gbc21508-fig-0001-m.jpg" TargetMode="External"/><Relationship Id="rId181" Type="http://schemas.openxmlformats.org/officeDocument/2006/relationships/hyperlink" Target="https://zenodo.org/records/15692788" TargetMode="External"/><Relationship Id="rId34" Type="http://schemas.openxmlformats.org/officeDocument/2006/relationships/hyperlink" Target="https://doi.org/10.1029/2023GB007789" TargetMode="External"/><Relationship Id="rId180" Type="http://schemas.openxmlformats.org/officeDocument/2006/relationships/hyperlink" Target="https://essd.copernicus.org/articles/17/3073/2025/essd-17-3073-2025-avatar-web.png" TargetMode="External"/><Relationship Id="rId37" Type="http://schemas.openxmlformats.org/officeDocument/2006/relationships/hyperlink" Target="https://doi.org/10.5194/essd-16-837-2024" TargetMode="External"/><Relationship Id="rId176" Type="http://schemas.openxmlformats.org/officeDocument/2006/relationships/hyperlink" Target="https://doi.org/10.1029/2023AV000875" TargetMode="External"/><Relationship Id="rId36" Type="http://schemas.openxmlformats.org/officeDocument/2006/relationships/hyperlink" Target="https://www.ncei.noaa.gov/access/metadata/landing-page/bin/iso?id=gov.noaa.nodc:NCRMP-CO3-Atlantic" TargetMode="External"/><Relationship Id="rId175" Type="http://schemas.openxmlformats.org/officeDocument/2006/relationships/hyperlink" Target="https://www.ncei.noaa.gov/data/oceans/ncei/ocads/metadata/0186034.html" TargetMode="External"/><Relationship Id="rId39" Type="http://schemas.openxmlformats.org/officeDocument/2006/relationships/hyperlink" Target="https://www.ncei.noaa.gov/access/ocean-carbon-acidification-data-system/oceans/SalishCruise_DataPackage.html" TargetMode="External"/><Relationship Id="rId174" Type="http://schemas.openxmlformats.org/officeDocument/2006/relationships/hyperlink" Target="https://www.ncei.noaa.gov/data/oceans/archive/arc0132/0186034/1.1/about/0186034_preview.jpg" TargetMode="External"/><Relationship Id="rId38" Type="http://schemas.openxmlformats.org/officeDocument/2006/relationships/hyperlink" Target="https://essd.copernicus.org/articles/16/837/2024/essd-16-837-2024-avatar-web.png" TargetMode="External"/><Relationship Id="rId173" Type="http://schemas.openxmlformats.org/officeDocument/2006/relationships/hyperlink" Target="https://doi.org/10.1126/science.aau5153" TargetMode="External"/><Relationship Id="rId179" Type="http://schemas.openxmlformats.org/officeDocument/2006/relationships/hyperlink" Target="https://doi.org/10.5194/essd-17-3073-2025" TargetMode="External"/><Relationship Id="rId178" Type="http://schemas.openxmlformats.org/officeDocument/2006/relationships/hyperlink" Target="https://doi.org/10.25921/ppcf-w020" TargetMode="External"/><Relationship Id="rId177" Type="http://schemas.openxmlformats.org/officeDocument/2006/relationships/hyperlink" Target="https://eos.org/wp-content/uploads/2023/08/Fig2_highlight.jpg" TargetMode="External"/><Relationship Id="rId20" Type="http://schemas.openxmlformats.org/officeDocument/2006/relationships/hyperlink" Target="https://essd.copernicus.org/articles/13/2777/2021/essd-13-2777-2021-f01-web.png" TargetMode="External"/><Relationship Id="rId22" Type="http://schemas.openxmlformats.org/officeDocument/2006/relationships/hyperlink" Target="https://doi.org/10.5194/essd-15-4127-2023" TargetMode="External"/><Relationship Id="rId21" Type="http://schemas.openxmlformats.org/officeDocument/2006/relationships/hyperlink" Target="https://www.ncei.noaa.gov/data/oceans/ncei/ocads/metadata/0219960.html" TargetMode="External"/><Relationship Id="rId24" Type="http://schemas.openxmlformats.org/officeDocument/2006/relationships/hyperlink" Target="https://doi.org/10.20383/102.0673" TargetMode="External"/><Relationship Id="rId23" Type="http://schemas.openxmlformats.org/officeDocument/2006/relationships/hyperlink" Target="https://essd.copernicus.org/articles/15/4127/2023/essd-15-4127-2023-avatar-web.png" TargetMode="External"/><Relationship Id="rId26" Type="http://schemas.openxmlformats.org/officeDocument/2006/relationships/hyperlink" Target="https://i.ibb.co/XrpxsXPX/data-locs-composite-bs.png" TargetMode="External"/><Relationship Id="rId25" Type="http://schemas.openxmlformats.org/officeDocument/2006/relationships/hyperlink" Target="https://doi.org/10.25921/2vve-fh39" TargetMode="External"/><Relationship Id="rId28" Type="http://schemas.openxmlformats.org/officeDocument/2006/relationships/hyperlink" Target="https://doi.org/10.5194/essd-12-2647-2020" TargetMode="External"/><Relationship Id="rId27" Type="http://schemas.openxmlformats.org/officeDocument/2006/relationships/hyperlink" Target="https://www.ncei.noaa.gov/access/metadata/landing-page/bin/iso?id=gov.noaa.nodc:0277984" TargetMode="External"/><Relationship Id="rId29" Type="http://schemas.openxmlformats.org/officeDocument/2006/relationships/hyperlink" Target="https://essd.copernicus.org/articles/12/2647/2020/essd-12-2647-2020-f01-web.png" TargetMode="External"/><Relationship Id="rId11" Type="http://schemas.openxmlformats.org/officeDocument/2006/relationships/hyperlink" Target="https://i.ibb.co/Q7YZfHK2/Swift-Vertical-Section-Map.png" TargetMode="External"/><Relationship Id="rId10" Type="http://schemas.openxmlformats.org/officeDocument/2006/relationships/hyperlink" Target="https://glodap.info/" TargetMode="External"/><Relationship Id="rId13" Type="http://schemas.openxmlformats.org/officeDocument/2006/relationships/hyperlink" Target="https://doi.org/10.25923/z885-h264" TargetMode="External"/><Relationship Id="rId12" Type="http://schemas.openxmlformats.org/officeDocument/2006/relationships/hyperlink" Target="https://joa.ucsd.edu/Data_homepage" TargetMode="External"/><Relationship Id="rId15" Type="http://schemas.openxmlformats.org/officeDocument/2006/relationships/hyperlink" Target="https://www.ncei.noaa.gov/products/world-ocean-database" TargetMode="External"/><Relationship Id="rId198" Type="http://schemas.openxmlformats.org/officeDocument/2006/relationships/hyperlink" Target="https://i.ibb.co/TxwRM1tp/GCP.jpg" TargetMode="External"/><Relationship Id="rId14" Type="http://schemas.openxmlformats.org/officeDocument/2006/relationships/hyperlink" Target="https://www.ncei.noaa.gov/sites/g/files/anmtlf171/files/inline-images/World%20Ocean%20Atlas%202023%20Climatology%2C%20Decade%202015-2022.png" TargetMode="External"/><Relationship Id="rId197" Type="http://schemas.openxmlformats.org/officeDocument/2006/relationships/hyperlink" Target="https://doi.org/10.5194/essd-17-965-2025" TargetMode="External"/><Relationship Id="rId17" Type="http://schemas.openxmlformats.org/officeDocument/2006/relationships/hyperlink" Target="https://www.seanoe.org/data/00911/102337/illustration.gif" TargetMode="External"/><Relationship Id="rId196" Type="http://schemas.openxmlformats.org/officeDocument/2006/relationships/hyperlink" Target="https://zenodo.org/records/7990823" TargetMode="External"/><Relationship Id="rId16" Type="http://schemas.openxmlformats.org/officeDocument/2006/relationships/hyperlink" Target="https://doi.org/10.5194/essd-16-89-2024" TargetMode="External"/><Relationship Id="rId195" Type="http://schemas.openxmlformats.org/officeDocument/2006/relationships/hyperlink" Target="https://i.ibb.co/NgXDHSQh/gbc21476-fig-0001-m.jpg" TargetMode="External"/><Relationship Id="rId19" Type="http://schemas.openxmlformats.org/officeDocument/2006/relationships/hyperlink" Target="https://doi.org/10.5194/essd-13-2777-2021" TargetMode="External"/><Relationship Id="rId18" Type="http://schemas.openxmlformats.org/officeDocument/2006/relationships/hyperlink" Target="https://doi.org/10.17882/102337" TargetMode="External"/><Relationship Id="rId199" Type="http://schemas.openxmlformats.org/officeDocument/2006/relationships/hyperlink" Target="https://doi.org/10.5281/zenodo.17579108" TargetMode="External"/><Relationship Id="rId84" Type="http://schemas.openxmlformats.org/officeDocument/2006/relationships/hyperlink" Target="https://doi.org/10.1007/s10872-020-00571-5" TargetMode="External"/><Relationship Id="rId83" Type="http://schemas.openxmlformats.org/officeDocument/2006/relationships/hyperlink" Target="https://www.data.jma.go.jp/kaiyou/data/db/mar_env/results/co2_flux/animation/fluxmap_fig/flux_2023MN.png" TargetMode="External"/><Relationship Id="rId86" Type="http://schemas.openxmlformats.org/officeDocument/2006/relationships/hyperlink" Target="https://essd.copernicus.org/articles/13/777/2021/essd-13-777-2021-avatar-web.png" TargetMode="External"/><Relationship Id="rId85" Type="http://schemas.openxmlformats.org/officeDocument/2006/relationships/hyperlink" Target="https://doi.org/10.5194/essd-13-777-2021" TargetMode="External"/><Relationship Id="rId88" Type="http://schemas.openxmlformats.org/officeDocument/2006/relationships/hyperlink" Target="https://doi.org/10.1029/2024GB008127" TargetMode="External"/><Relationship Id="rId150" Type="http://schemas.openxmlformats.org/officeDocument/2006/relationships/hyperlink" Target="https://i.ibb.co/dwFT2QJx/GLODAPv2-Climatology.png" TargetMode="External"/><Relationship Id="rId87" Type="http://schemas.openxmlformats.org/officeDocument/2006/relationships/hyperlink" Target="https://www.ncei.noaa.gov/data/oceans/ncei/ocads/metadata/0220059.html" TargetMode="External"/><Relationship Id="rId89" Type="http://schemas.openxmlformats.org/officeDocument/2006/relationships/hyperlink" Target="https://i.ibb.co/9mHfTX1H/gbc21584-fig-0007-m.jpg" TargetMode="External"/><Relationship Id="rId80" Type="http://schemas.openxmlformats.org/officeDocument/2006/relationships/hyperlink" Target="https://www.ncei.noaa.gov/data/oceans/archive/arc0105/0160558/8.8/about/0160558_preview.png" TargetMode="External"/><Relationship Id="rId82" Type="http://schemas.openxmlformats.org/officeDocument/2006/relationships/hyperlink" Target="https://doi.org/10.1007/s10872-020-00571-5" TargetMode="External"/><Relationship Id="rId81" Type="http://schemas.openxmlformats.org/officeDocument/2006/relationships/hyperlink" Target="https://www.ncei.noaa.gov/data/oceans/ncei/ocads/metadata/0160558.html" TargetMode="External"/><Relationship Id="rId1" Type="http://schemas.openxmlformats.org/officeDocument/2006/relationships/hyperlink" Target="https://doi.org/10.5194/essd-8-383-2016." TargetMode="External"/><Relationship Id="rId2" Type="http://schemas.openxmlformats.org/officeDocument/2006/relationships/hyperlink" Target="https://doi.org/10.5194/essd-8-383-2016" TargetMode="External"/><Relationship Id="rId3" Type="http://schemas.openxmlformats.org/officeDocument/2006/relationships/hyperlink" Target="https://socat.info/wp-content/uploads/2017/06/cropped-socat_cat.png" TargetMode="External"/><Relationship Id="rId149" Type="http://schemas.openxmlformats.org/officeDocument/2006/relationships/hyperlink" Target="https://doi.org/10.5194/essd-8-325-2016" TargetMode="External"/><Relationship Id="rId4" Type="http://schemas.openxmlformats.org/officeDocument/2006/relationships/hyperlink" Target="https://socat.info/" TargetMode="External"/><Relationship Id="rId148" Type="http://schemas.openxmlformats.org/officeDocument/2006/relationships/hyperlink" Target="https://www.ncei.noaa.gov/data/oceans/ncei/ocads/metadata/0307789.html" TargetMode="External"/><Relationship Id="rId9" Type="http://schemas.openxmlformats.org/officeDocument/2006/relationships/hyperlink" Target="https://glodap.info/wp-content/uploads/2017/09/cropped-glodap_logo_trans.png" TargetMode="External"/><Relationship Id="rId143" Type="http://schemas.openxmlformats.org/officeDocument/2006/relationships/hyperlink" Target="https://doi.org/10.1038/s41597-024-03236-w" TargetMode="External"/><Relationship Id="rId142" Type="http://schemas.openxmlformats.org/officeDocument/2006/relationships/hyperlink" Target="https://doi.org/10.1594/PANGAEA.961119" TargetMode="External"/><Relationship Id="rId141" Type="http://schemas.openxmlformats.org/officeDocument/2006/relationships/hyperlink" Target="https://essd.copernicus.org/articles/16/753/2024/essd-16-753-2024-avatar-web.png" TargetMode="External"/><Relationship Id="rId140" Type="http://schemas.openxmlformats.org/officeDocument/2006/relationships/hyperlink" Target="https://doi.org/10.5194/essd-16-753-2024" TargetMode="External"/><Relationship Id="rId5" Type="http://schemas.openxmlformats.org/officeDocument/2006/relationships/hyperlink" Target="https://doi.org/10.1016/j.dsr2.2008.12.009" TargetMode="External"/><Relationship Id="rId147" Type="http://schemas.openxmlformats.org/officeDocument/2006/relationships/hyperlink" Target="https://i.ibb.co/BYn8GyH/Climatology-TA.png" TargetMode="External"/><Relationship Id="rId6" Type="http://schemas.openxmlformats.org/officeDocument/2006/relationships/hyperlink" Target="https://www.ncei.noaa.gov/access/ocean-carbon-acidification-data-system/oceans/LDEO_Underway_Database/LDEOv2019_map.jpg" TargetMode="External"/><Relationship Id="rId146" Type="http://schemas.openxmlformats.org/officeDocument/2006/relationships/hyperlink" Target="https://doi.org/10.1029/2024GB008344" TargetMode="External"/><Relationship Id="rId7" Type="http://schemas.openxmlformats.org/officeDocument/2006/relationships/hyperlink" Target="https://www.ncei.noaa.gov/data/oceans/ncei/ocads/metadata/0160492.html" TargetMode="External"/><Relationship Id="rId145" Type="http://schemas.openxmlformats.org/officeDocument/2006/relationships/hyperlink" Target="https://www.ncei.noaa.gov/data/oceans/ncei/ocads/metadata/0307627.html" TargetMode="External"/><Relationship Id="rId8" Type="http://schemas.openxmlformats.org/officeDocument/2006/relationships/hyperlink" Target="https://doi.org/10.5194/essd-16-2047-2024" TargetMode="External"/><Relationship Id="rId144" Type="http://schemas.openxmlformats.org/officeDocument/2006/relationships/hyperlink" Target="https://i.ibb.co/cShr87g7/pCO2-BoB.png" TargetMode="External"/><Relationship Id="rId73" Type="http://schemas.openxmlformats.org/officeDocument/2006/relationships/hyperlink" Target="https://doi.org/10.5194/essd-16-2123-2024" TargetMode="External"/><Relationship Id="rId72" Type="http://schemas.openxmlformats.org/officeDocument/2006/relationships/hyperlink" Target="https://doi.org/10.17882/96982" TargetMode="External"/><Relationship Id="rId75" Type="http://schemas.openxmlformats.org/officeDocument/2006/relationships/hyperlink" Target="https://doi.org/10.25921/295g-sn13" TargetMode="External"/><Relationship Id="rId74" Type="http://schemas.openxmlformats.org/officeDocument/2006/relationships/hyperlink" Target="https://essd.copernicus.org/articles/16/2123/2024/essd-16-2123-2024-avatar-web.png" TargetMode="External"/><Relationship Id="rId77" Type="http://schemas.openxmlformats.org/officeDocument/2006/relationships/hyperlink" Target="https://essd.copernicus.org/articles/12/2537/2020/essd-12-2537-2020-avatar-web.png" TargetMode="External"/><Relationship Id="rId76" Type="http://schemas.openxmlformats.org/officeDocument/2006/relationships/hyperlink" Target="https://doi.org/10.5194/essd-12-2537-2020" TargetMode="External"/><Relationship Id="rId79" Type="http://schemas.openxmlformats.org/officeDocument/2006/relationships/hyperlink" Target="https://doi.org/10.1002/2015gb005359" TargetMode="External"/><Relationship Id="rId78" Type="http://schemas.openxmlformats.org/officeDocument/2006/relationships/hyperlink" Target="https://www.ncei.noaa.gov/access/ocean-carbon-acidification-data-system/oceans/MPI-ULB-SOM_FFN_clim.html" TargetMode="External"/><Relationship Id="rId71" Type="http://schemas.openxmlformats.org/officeDocument/2006/relationships/hyperlink" Target="https://i.ibb.co/67Qd9xr3/Fig6-Suivi-Cocori-CO2-p-H.png" TargetMode="External"/><Relationship Id="rId70" Type="http://schemas.openxmlformats.org/officeDocument/2006/relationships/hyperlink" Target="https://doi.org/10.5194/essd-16-1667-2024" TargetMode="External"/><Relationship Id="rId139" Type="http://schemas.openxmlformats.org/officeDocument/2006/relationships/hyperlink" Target="https://upload.wikimedia.org/wikipedia/commons/thumb/5/59/Aomlogo.svg/330px-Aomlogo.svg.png" TargetMode="External"/><Relationship Id="rId138" Type="http://schemas.openxmlformats.org/officeDocument/2006/relationships/hyperlink" Target="https://www.ncei.noaa.gov/data/oceans/ncei/ocads/metadata/0245950.html" TargetMode="External"/><Relationship Id="rId137" Type="http://schemas.openxmlformats.org/officeDocument/2006/relationships/hyperlink" Target="https://upload.wikimedia.org/wikipedia/commons/thumb/5/59/Aomlogo.svg/330px-Aomlogo.svg.png" TargetMode="External"/><Relationship Id="rId132" Type="http://schemas.openxmlformats.org/officeDocument/2006/relationships/hyperlink" Target="https://doi.org/10.5281/zenodo.11500974" TargetMode="External"/><Relationship Id="rId131" Type="http://schemas.openxmlformats.org/officeDocument/2006/relationships/hyperlink" Target="https://essd.copernicus.org/articles/17/43/2025/essd-17-43-2025-avatar-web.png" TargetMode="External"/><Relationship Id="rId130" Type="http://schemas.openxmlformats.org/officeDocument/2006/relationships/hyperlink" Target="https://doi.org/10.5194/essd-17-43-2025" TargetMode="External"/><Relationship Id="rId136" Type="http://schemas.openxmlformats.org/officeDocument/2006/relationships/hyperlink" Target="https://doi.org/10.25921/tt1c-dx53" TargetMode="External"/><Relationship Id="rId135" Type="http://schemas.openxmlformats.org/officeDocument/2006/relationships/hyperlink" Target="https://www.ncei.noaa.gov/data/oceans/ncei/ocads/metadata/0207749.html" TargetMode="External"/><Relationship Id="rId134" Type="http://schemas.openxmlformats.org/officeDocument/2006/relationships/hyperlink" Target="https://essd.copernicus.org/articles/12/1489/2020/essd-12-1489-2020-avatar-web.png" TargetMode="External"/><Relationship Id="rId133" Type="http://schemas.openxmlformats.org/officeDocument/2006/relationships/hyperlink" Target="https://doi.org/10.5194/essd-12-1489-2020" TargetMode="External"/><Relationship Id="rId62" Type="http://schemas.openxmlformats.org/officeDocument/2006/relationships/hyperlink" Target="https://essd.copernicus.org/articles/15/2809/2023/essd-15-2809-2023-avatar-web.png" TargetMode="External"/><Relationship Id="rId61" Type="http://schemas.openxmlformats.org/officeDocument/2006/relationships/hyperlink" Target="https://doi.org/10.5194/essd-15-2809-2023" TargetMode="External"/><Relationship Id="rId64" Type="http://schemas.openxmlformats.org/officeDocument/2006/relationships/hyperlink" Target="https://doi.org/10.5194/essd-16-1901-2024" TargetMode="External"/><Relationship Id="rId63" Type="http://schemas.openxmlformats.org/officeDocument/2006/relationships/hyperlink" Target="https://doi.org//10.1594/PANGAEA.957028" TargetMode="External"/><Relationship Id="rId66" Type="http://schemas.openxmlformats.org/officeDocument/2006/relationships/hyperlink" Target="https://www.bco-dmo.org/dataset/896862" TargetMode="External"/><Relationship Id="rId172" Type="http://schemas.openxmlformats.org/officeDocument/2006/relationships/hyperlink" Target="https://doi.org/10.25921/tefm-x802" TargetMode="External"/><Relationship Id="rId65" Type="http://schemas.openxmlformats.org/officeDocument/2006/relationships/hyperlink" Target="https://i.ibb.co/qYM6NNbv/Logo.png" TargetMode="External"/><Relationship Id="rId171" Type="http://schemas.openxmlformats.org/officeDocument/2006/relationships/hyperlink" Target="https://i.ibb.co/YT3rjvDc/sciadv-ado3103-f1.jpg" TargetMode="External"/><Relationship Id="rId68" Type="http://schemas.openxmlformats.org/officeDocument/2006/relationships/hyperlink" Target="https://essd.copernicus.org/articles/11/421/2019/essd-11-421-2019-avatar-web.png" TargetMode="External"/><Relationship Id="rId170" Type="http://schemas.openxmlformats.org/officeDocument/2006/relationships/hyperlink" Target="https://doi.org/10.1126/sciadv.ado3103" TargetMode="External"/><Relationship Id="rId67" Type="http://schemas.openxmlformats.org/officeDocument/2006/relationships/hyperlink" Target="https://doi.org/10.5194/essd-11-421-2019" TargetMode="External"/><Relationship Id="rId60" Type="http://schemas.openxmlformats.org/officeDocument/2006/relationships/hyperlink" Target="https://doi.org/10.1594/PANGAEA.727120" TargetMode="External"/><Relationship Id="rId165" Type="http://schemas.openxmlformats.org/officeDocument/2006/relationships/hyperlink" Target="https://essd.copernicus.org/articles/12/1725/2020/essd-12-1725-2020-f07-web.png" TargetMode="External"/><Relationship Id="rId69" Type="http://schemas.openxmlformats.org/officeDocument/2006/relationships/hyperlink" Target="https://www.ncei.noaa.gov/access/ocean-carbon-acidification-data-system/oceans/Moorings/ndp097.html" TargetMode="External"/><Relationship Id="rId164" Type="http://schemas.openxmlformats.org/officeDocument/2006/relationships/hyperlink" Target="https://doi.org/10.5194/essd-12-1725-2020" TargetMode="External"/><Relationship Id="rId163" Type="http://schemas.openxmlformats.org/officeDocument/2006/relationships/hyperlink" Target="https://doi.org/10.25921/5p69-y471" TargetMode="External"/><Relationship Id="rId162" Type="http://schemas.openxmlformats.org/officeDocument/2006/relationships/hyperlink" Target="https://essd.copernicus.org/articles/11/1109/2019/essd-11-1109-2019-f09-web.png" TargetMode="External"/><Relationship Id="rId169" Type="http://schemas.openxmlformats.org/officeDocument/2006/relationships/hyperlink" Target="https://www.ncei.noaa.gov/data/oceans/ncei/ocads/metadata/0290073.html" TargetMode="External"/><Relationship Id="rId168" Type="http://schemas.openxmlformats.org/officeDocument/2006/relationships/hyperlink" Target="https://www.ncei.noaa.gov/data/oceans/archive/arc0227/0290073/1.1/about/0290073_preview.jpg" TargetMode="External"/><Relationship Id="rId167" Type="http://schemas.openxmlformats.org/officeDocument/2006/relationships/hyperlink" Target="https://doi.org/10.1029/2023GB007843" TargetMode="External"/><Relationship Id="rId166" Type="http://schemas.openxmlformats.org/officeDocument/2006/relationships/hyperlink" Target="https://doi.org/10.25921/ndgj-jp24" TargetMode="External"/><Relationship Id="rId51" Type="http://schemas.openxmlformats.org/officeDocument/2006/relationships/hyperlink" Target="https://www.bco-dmo.org/project/2124" TargetMode="External"/><Relationship Id="rId50" Type="http://schemas.openxmlformats.org/officeDocument/2006/relationships/hyperlink" Target="https://www.frontiersin.org/files/Articles/1289931/fmars-10-1289931-HTML-r1/image_m/fmars-10-1289931-g001.jpg" TargetMode="External"/><Relationship Id="rId53" Type="http://schemas.openxmlformats.org/officeDocument/2006/relationships/hyperlink" Target="https://i.ibb.co/B2vPqjyw/HOTlogo.jpg" TargetMode="External"/><Relationship Id="rId52" Type="http://schemas.openxmlformats.org/officeDocument/2006/relationships/hyperlink" Target="https://doi.org/10.1073/pnas.0906044106" TargetMode="External"/><Relationship Id="rId55" Type="http://schemas.openxmlformats.org/officeDocument/2006/relationships/hyperlink" Target="https://doi.org/10.3389/fmars.2023.1236214" TargetMode="External"/><Relationship Id="rId161" Type="http://schemas.openxmlformats.org/officeDocument/2006/relationships/hyperlink" Target="https://doi.org/10.5194/essd-11-1109-2019" TargetMode="External"/><Relationship Id="rId54" Type="http://schemas.openxmlformats.org/officeDocument/2006/relationships/hyperlink" Target="https://doi.org/10.1575/1912/bco-dmo.3773.1" TargetMode="External"/><Relationship Id="rId160" Type="http://schemas.openxmlformats.org/officeDocument/2006/relationships/hyperlink" Target="https://www.ncei.noaa.gov/data/oceans/ncei/ocads/metadata/0277099.html" TargetMode="External"/><Relationship Id="rId57" Type="http://schemas.openxmlformats.org/officeDocument/2006/relationships/hyperlink" Target="https://doi.org/10.1594/PANGAEA.959856" TargetMode="External"/><Relationship Id="rId56" Type="http://schemas.openxmlformats.org/officeDocument/2006/relationships/hyperlink" Target="https://www.frontiersin.org/files/Articles/1236214/fmars-10-1236214-HTML-r1/image_m/fmars-10-1236214-g001.jpg" TargetMode="External"/><Relationship Id="rId159" Type="http://schemas.openxmlformats.org/officeDocument/2006/relationships/hyperlink" Target="https://www.ncei.noaa.gov/access/ocean-carbon-acidification-data-system/oceans/ndp_104/Moby.jpg" TargetMode="External"/><Relationship Id="rId59" Type="http://schemas.openxmlformats.org/officeDocument/2006/relationships/hyperlink" Target="https://i.ibb.co/8gK4B2BP/Point-B.png" TargetMode="External"/><Relationship Id="rId154" Type="http://schemas.openxmlformats.org/officeDocument/2006/relationships/hyperlink" Target="https://www.ncei.noaa.gov/data/oceans/ncei/ocads/metadata/0139360.html" TargetMode="External"/><Relationship Id="rId58" Type="http://schemas.openxmlformats.org/officeDocument/2006/relationships/hyperlink" Target="https://doi.org/10.5194/os-13-411-2017" TargetMode="External"/><Relationship Id="rId153" Type="http://schemas.openxmlformats.org/officeDocument/2006/relationships/hyperlink" Target="https://i.ibb.co/KpxH4y77/gbc20348-fig-0002-m.jpg" TargetMode="External"/><Relationship Id="rId152" Type="http://schemas.openxmlformats.org/officeDocument/2006/relationships/hyperlink" Target="https://doi.org/10.1002/2015GB005198" TargetMode="External"/><Relationship Id="rId151" Type="http://schemas.openxmlformats.org/officeDocument/2006/relationships/hyperlink" Target="https://www.ncei.noaa.gov/data/oceans/ncei/ocads/metadata/0286118.html" TargetMode="External"/><Relationship Id="rId158" Type="http://schemas.openxmlformats.org/officeDocument/2006/relationships/hyperlink" Target="https://doi.org/10.1029/2022gb007677" TargetMode="External"/><Relationship Id="rId157" Type="http://schemas.openxmlformats.org/officeDocument/2006/relationships/hyperlink" Target="https://www.ncei.noaa.gov/access/ocean-carbon-acidification-data-system/oceans/ndp_104/ndp104.html" TargetMode="External"/><Relationship Id="rId156" Type="http://schemas.openxmlformats.org/officeDocument/2006/relationships/hyperlink" Target="https://www.ncei.noaa.gov/access/ocean-carbon-acidification-data-system/oceans/ndp_104/Moby.jpg" TargetMode="External"/><Relationship Id="rId155" Type="http://schemas.openxmlformats.org/officeDocument/2006/relationships/hyperlink" Target="https://doi.org/10.1029/2020GB006571" TargetMode="External"/><Relationship Id="rId107" Type="http://schemas.openxmlformats.org/officeDocument/2006/relationships/hyperlink" Target="https://bg.copernicus.org/articles/19/2627/2022/bg-19-2627-2022-avatar-web.png" TargetMode="External"/><Relationship Id="rId228" Type="http://schemas.openxmlformats.org/officeDocument/2006/relationships/hyperlink" Target="https://i.ibb.co/Xxbcrf2b/Screenshot-2025-11-14-at-08-56-35.png" TargetMode="External"/><Relationship Id="rId106" Type="http://schemas.openxmlformats.org/officeDocument/2006/relationships/hyperlink" Target="https://doi.org/10.5194/bg-19-2627-2022" TargetMode="External"/><Relationship Id="rId227" Type="http://schemas.openxmlformats.org/officeDocument/2006/relationships/hyperlink" Target="https://doi.org/10.1029/2021GL096018" TargetMode="External"/><Relationship Id="rId105" Type="http://schemas.openxmlformats.org/officeDocument/2006/relationships/hyperlink" Target="https://doi.org/10.48670/moi-00047" TargetMode="External"/><Relationship Id="rId226" Type="http://schemas.openxmlformats.org/officeDocument/2006/relationships/hyperlink" Target="https://www.ncei.noaa.gov/data/oceans/ncei/ocads/metadata/0307663.html" TargetMode="External"/><Relationship Id="rId104" Type="http://schemas.openxmlformats.org/officeDocument/2006/relationships/hyperlink" Target="https://essd.copernicus.org/articles/16/121/2024/essd-16-121-2024-avatar-web.png" TargetMode="External"/><Relationship Id="rId225" Type="http://schemas.openxmlformats.org/officeDocument/2006/relationships/hyperlink" Target="https://i.ibb.co/wFc3f1bY/p-H-DECADAL.png" TargetMode="External"/><Relationship Id="rId109" Type="http://schemas.openxmlformats.org/officeDocument/2006/relationships/hyperlink" Target="https://doi.org/10.1038/s41467-020-18203-3" TargetMode="External"/><Relationship Id="rId108" Type="http://schemas.openxmlformats.org/officeDocument/2006/relationships/hyperlink" Target="https://www.bgc-jena.mpg.de/CarboScope/" TargetMode="External"/><Relationship Id="rId229" Type="http://schemas.openxmlformats.org/officeDocument/2006/relationships/hyperlink" Target="https://figshare.com/articles/dataset/OCIM2-48L_abiotic_ocean_carbon_cycle_model_output/19341974" TargetMode="External"/><Relationship Id="rId220" Type="http://schemas.openxmlformats.org/officeDocument/2006/relationships/hyperlink" Target="https://doi.org/10.5194/bg-22-1631-2025" TargetMode="External"/><Relationship Id="rId103" Type="http://schemas.openxmlformats.org/officeDocument/2006/relationships/hyperlink" Target="https://doi.org/10.5194/essd-16-121-2024" TargetMode="External"/><Relationship Id="rId224" Type="http://schemas.openxmlformats.org/officeDocument/2006/relationships/hyperlink" Target="https://doi.org/10.1029/2024GB008139" TargetMode="External"/><Relationship Id="rId102" Type="http://schemas.openxmlformats.org/officeDocument/2006/relationships/hyperlink" Target="https://data.ipsl.fr/catalog/srv/eng/catalog.search" TargetMode="External"/><Relationship Id="rId223" Type="http://schemas.openxmlformats.org/officeDocument/2006/relationships/hyperlink" Target="https://www.ncei.noaa.gov/data/oceans/ncei/ocads/metadata/0307788.html" TargetMode="External"/><Relationship Id="rId101" Type="http://schemas.openxmlformats.org/officeDocument/2006/relationships/hyperlink" Target="https://bg.copernicus.org/articles/19/1087/2022/bg-19-1087-2022-avatar-web.png" TargetMode="External"/><Relationship Id="rId222" Type="http://schemas.openxmlformats.org/officeDocument/2006/relationships/hyperlink" Target="https://i.ibb.co/8DtF8Zz4/p-CIBR-p-CO2-DECADAL.png" TargetMode="External"/><Relationship Id="rId100" Type="http://schemas.openxmlformats.org/officeDocument/2006/relationships/hyperlink" Target="https://doi.org/10.5194/bg-19-1087-2022" TargetMode="External"/><Relationship Id="rId221" Type="http://schemas.openxmlformats.org/officeDocument/2006/relationships/hyperlink" Target="https://doi.org/10.1038/s41597-025-04914-z" TargetMode="External"/><Relationship Id="rId217" Type="http://schemas.openxmlformats.org/officeDocument/2006/relationships/hyperlink" Target="https://www.seanoe.org/data/00927/103934" TargetMode="External"/><Relationship Id="rId216" Type="http://schemas.openxmlformats.org/officeDocument/2006/relationships/hyperlink" Target="https://www.seanoe.org/data/00927/103934/illustration.gif" TargetMode="External"/><Relationship Id="rId215" Type="http://schemas.openxmlformats.org/officeDocument/2006/relationships/hyperlink" Target="https://doi.org/10.5194/bg-19-4431-2022" TargetMode="External"/><Relationship Id="rId214" Type="http://schemas.openxmlformats.org/officeDocument/2006/relationships/hyperlink" Target="https://www.seanoe.org/data/00927/103938/" TargetMode="External"/><Relationship Id="rId219" Type="http://schemas.openxmlformats.org/officeDocument/2006/relationships/hyperlink" Target="https://upload.wikimedia.org/wikipedia/commons/thumb/9/9c/Ocean_water.jpg/960px-Ocean_water.jpg" TargetMode="External"/><Relationship Id="rId218" Type="http://schemas.openxmlformats.org/officeDocument/2006/relationships/hyperlink" Target="https://doi.org/10.5194/bg-22-1631-2025" TargetMode="External"/><Relationship Id="rId213" Type="http://schemas.openxmlformats.org/officeDocument/2006/relationships/hyperlink" Target="https://www.seanoe.org/data/00927/103934/illustration.gif" TargetMode="External"/><Relationship Id="rId212" Type="http://schemas.openxmlformats.org/officeDocument/2006/relationships/hyperlink" Target="https://doi.org/10.1126/sciadv.abd5964" TargetMode="External"/><Relationship Id="rId211" Type="http://schemas.openxmlformats.org/officeDocument/2006/relationships/hyperlink" Target="https://www.ncei.noaa.gov/data/oceans/ncei/ocads/metadata/0259391.html" TargetMode="External"/><Relationship Id="rId210" Type="http://schemas.openxmlformats.org/officeDocument/2006/relationships/hyperlink" Target="https://i.ibb.co/27sB2HLw/jame21817-fig-0008-m.jpg" TargetMode="External"/><Relationship Id="rId129" Type="http://schemas.openxmlformats.org/officeDocument/2006/relationships/hyperlink" Target="https://www.ncei.noaa.gov/access/metadata/landing-page/bin/iso?id=gov.noaa.nodc:0287551" TargetMode="External"/><Relationship Id="rId128" Type="http://schemas.openxmlformats.org/officeDocument/2006/relationships/hyperlink" Target="https://i.ibb.co/ynxb1Hry/Screenshot-2025-11-07-at-09-32-32.png" TargetMode="External"/><Relationship Id="rId127" Type="http://schemas.openxmlformats.org/officeDocument/2006/relationships/hyperlink" Target="https://doi.org/10.1038/s41597-024-03530-7" TargetMode="External"/><Relationship Id="rId126" Type="http://schemas.openxmlformats.org/officeDocument/2006/relationships/hyperlink" Target="https://doi.org/10.25921/4sde-p068" TargetMode="External"/><Relationship Id="rId121" Type="http://schemas.openxmlformats.org/officeDocument/2006/relationships/hyperlink" Target="https://doi.org/10.1029/2024GB008315" TargetMode="External"/><Relationship Id="rId120" Type="http://schemas.openxmlformats.org/officeDocument/2006/relationships/hyperlink" Target="http://doi.org/10.12157/IOCAS.20250814.001" TargetMode="External"/><Relationship Id="rId125" Type="http://schemas.openxmlformats.org/officeDocument/2006/relationships/hyperlink" Target="https://essd.copernicus.org/articles/16/421/2024/essd-16-421-2024-f01-web.png" TargetMode="External"/><Relationship Id="rId124" Type="http://schemas.openxmlformats.org/officeDocument/2006/relationships/hyperlink" Target="https://doi.org/10.5194/essd-16-421-2024" TargetMode="External"/><Relationship Id="rId123" Type="http://schemas.openxmlformats.org/officeDocument/2006/relationships/hyperlink" Target="https://www.ncei.noaa.gov/data/oceans/ncei/ocads/metadata/0298989.html" TargetMode="External"/><Relationship Id="rId122" Type="http://schemas.openxmlformats.org/officeDocument/2006/relationships/hyperlink" Target="https://www.ncei.noaa.gov/data/oceans/archive/arc0235/0298989/2.2/about/0298989_preview.jpg" TargetMode="External"/><Relationship Id="rId95" Type="http://schemas.openxmlformats.org/officeDocument/2006/relationships/hyperlink" Target="https://i.ibb.co/pBXT90wP/jame21511-fig-0001-m.jpg" TargetMode="External"/><Relationship Id="rId94" Type="http://schemas.openxmlformats.org/officeDocument/2006/relationships/hyperlink" Target="https://doi.org/10.1029/2022GL098632" TargetMode="External"/><Relationship Id="rId97" Type="http://schemas.openxmlformats.org/officeDocument/2006/relationships/hyperlink" Target="https://doi.org/10.1029/2021MS002960" TargetMode="External"/><Relationship Id="rId96" Type="http://schemas.openxmlformats.org/officeDocument/2006/relationships/hyperlink" Target="https://zenodo.org/records/13891722" TargetMode="External"/><Relationship Id="rId99" Type="http://schemas.openxmlformats.org/officeDocument/2006/relationships/hyperlink" Target="https://zenodo.org/records/13941548" TargetMode="External"/><Relationship Id="rId98" Type="http://schemas.openxmlformats.org/officeDocument/2006/relationships/hyperlink" Target="https://i.ibb.co/xSw1HkMf/jame21703-fig-0001-m.jpg" TargetMode="External"/><Relationship Id="rId91" Type="http://schemas.openxmlformats.org/officeDocument/2006/relationships/hyperlink" Target="https://doi.org/10.1029/2021ms002620" TargetMode="External"/><Relationship Id="rId90" Type="http://schemas.openxmlformats.org/officeDocument/2006/relationships/hyperlink" Target="https://zenodo.org/records/11206366" TargetMode="External"/><Relationship Id="rId93" Type="http://schemas.openxmlformats.org/officeDocument/2006/relationships/hyperlink" Target="https://zenodo.org/records/4760205" TargetMode="External"/><Relationship Id="rId92" Type="http://schemas.openxmlformats.org/officeDocument/2006/relationships/hyperlink" Target="https://i.ibb.co/pBXT90wP/jame21511-fig-0001-m.jpg" TargetMode="External"/><Relationship Id="rId118" Type="http://schemas.openxmlformats.org/officeDocument/2006/relationships/hyperlink" Target="http://doi.org/10.12157/IOCAS.20250814.001" TargetMode="External"/><Relationship Id="rId117" Type="http://schemas.openxmlformats.org/officeDocument/2006/relationships/hyperlink" Target="https://www.ncei.noaa.gov/data/oceans/ncei/ocads/metadata/0206205.html" TargetMode="External"/><Relationship Id="rId116" Type="http://schemas.openxmlformats.org/officeDocument/2006/relationships/hyperlink" Target="https://gmd.copernicus.org/articles/12/5113/2019/gmd-12-5113-2019-f09-web.png" TargetMode="External"/><Relationship Id="rId115" Type="http://schemas.openxmlformats.org/officeDocument/2006/relationships/hyperlink" Target="https://doi.org/10.5194/gmd-12-5113-2019" TargetMode="External"/><Relationship Id="rId119" Type="http://schemas.openxmlformats.org/officeDocument/2006/relationships/hyperlink" Target="https://appletmsdc.qdio.ac.cn//files/metadata/images/2025-08-14_1955061943601487874/DATA20251000212_11415094_1.jpg" TargetMode="External"/><Relationship Id="rId110" Type="http://schemas.openxmlformats.org/officeDocument/2006/relationships/hyperlink" Target="https://i.ibb.co/tpmH1dzt/Watson.png" TargetMode="External"/><Relationship Id="rId230" Type="http://schemas.openxmlformats.org/officeDocument/2006/relationships/drawing" Target="../drawings/drawing1.xml"/><Relationship Id="rId114" Type="http://schemas.openxmlformats.org/officeDocument/2006/relationships/hyperlink" Target="https://www.nies.go.jp/doi/10.17595/20220311.001-e.html" TargetMode="External"/><Relationship Id="rId113" Type="http://schemas.openxmlformats.org/officeDocument/2006/relationships/hyperlink" Target="https://i.ibb.co/zW1nfm1f/Picture3b.png" TargetMode="External"/><Relationship Id="rId112" Type="http://schemas.openxmlformats.org/officeDocument/2006/relationships/hyperlink" Target="https://doi.org/10.3389/fmars.2022.989233" TargetMode="External"/><Relationship Id="rId111" Type="http://schemas.openxmlformats.org/officeDocument/2006/relationships/hyperlink" Target="https://www.ncei.noaa.gov/data/oceans/ncei/ocads/data/0301544/" TargetMode="External"/><Relationship Id="rId232" Type="http://schemas.openxmlformats.org/officeDocument/2006/relationships/table" Target="../tables/table1.xml"/><Relationship Id="rId206" Type="http://schemas.openxmlformats.org/officeDocument/2006/relationships/hyperlink" Target="https://doi.org/10.1038/s41598-019-55039-4" TargetMode="External"/><Relationship Id="rId205" Type="http://schemas.openxmlformats.org/officeDocument/2006/relationships/hyperlink" Target="https://data.nas.nasa.gov/ecco/" TargetMode="External"/><Relationship Id="rId204" Type="http://schemas.openxmlformats.org/officeDocument/2006/relationships/hyperlink" Target="https://ecco-group.org/images/ecco_rotator01.jpg" TargetMode="External"/><Relationship Id="rId203" Type="http://schemas.openxmlformats.org/officeDocument/2006/relationships/hyperlink" Target="https://doi.org/10.5281/zenodo.10627664" TargetMode="External"/><Relationship Id="rId209" Type="http://schemas.openxmlformats.org/officeDocument/2006/relationships/hyperlink" Target="https://doi.org/10.1029/2022MS003563" TargetMode="External"/><Relationship Id="rId208" Type="http://schemas.openxmlformats.org/officeDocument/2006/relationships/hyperlink" Target="https://www.ncei.noaa.gov/data/oceans/ncei/ocads/metadata/0206289.html" TargetMode="External"/><Relationship Id="rId207" Type="http://schemas.openxmlformats.org/officeDocument/2006/relationships/hyperlink" Target="https://media.springernature.com/lw685/springer-static/image/art%3A10.1038%2Fs41598-019-55039-4/MediaObjects/41598_2019_55039_Fig6_HTML.png?as=webp" TargetMode="External"/><Relationship Id="rId202" Type="http://schemas.openxmlformats.org/officeDocument/2006/relationships/hyperlink" Target="https://doi.org/10.6084/m9.figshare.8091161.v1" TargetMode="External"/><Relationship Id="rId201" Type="http://schemas.openxmlformats.org/officeDocument/2006/relationships/hyperlink" Target="https://i.ibb.co/RTWv9Yp9/pnas-1900371116fig01.jpg" TargetMode="External"/><Relationship Id="rId200" Type="http://schemas.openxmlformats.org/officeDocument/2006/relationships/hyperlink" Target="https://doi.org/10.1073/pnas.1900371116"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31.0"/>
    <col customWidth="1" min="8" max="8" width="42.88"/>
    <col customWidth="1" min="9" max="10" width="18.88"/>
    <col customWidth="1" min="11" max="11" width="19.88"/>
    <col customWidth="1" min="12" max="2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3" t="s">
        <v>17</v>
      </c>
    </row>
    <row r="2" ht="22.5" customHeight="1">
      <c r="A2" s="4">
        <v>45961.92452332176</v>
      </c>
      <c r="B2" s="5"/>
      <c r="C2" s="6" t="s">
        <v>18</v>
      </c>
      <c r="D2" s="7" t="s">
        <v>19</v>
      </c>
      <c r="E2" s="8" t="s">
        <v>20</v>
      </c>
      <c r="F2" s="7" t="s">
        <v>21</v>
      </c>
      <c r="G2" s="9" t="s">
        <v>22</v>
      </c>
      <c r="H2" s="9" t="s">
        <v>23</v>
      </c>
      <c r="I2" s="9" t="s">
        <v>24</v>
      </c>
      <c r="J2" s="10"/>
      <c r="K2" s="6" t="s">
        <v>25</v>
      </c>
      <c r="L2" s="6" t="s">
        <v>26</v>
      </c>
      <c r="M2" s="6" t="s">
        <v>27</v>
      </c>
      <c r="N2" s="6" t="s">
        <v>28</v>
      </c>
      <c r="O2" s="6" t="s">
        <v>29</v>
      </c>
      <c r="P2" s="6" t="s">
        <v>30</v>
      </c>
      <c r="Q2" s="11">
        <f t="shared" ref="Q2:Q77" si="1">getStatusCode(G2)</f>
        <v>200</v>
      </c>
      <c r="R2" s="11">
        <f t="shared" ref="R2:R77" si="2">getStatusCode(I2)</f>
        <v>200</v>
      </c>
    </row>
    <row r="3" ht="22.5" customHeight="1">
      <c r="A3" s="4">
        <v>45962.863408819445</v>
      </c>
      <c r="B3" s="5"/>
      <c r="C3" s="6" t="s">
        <v>18</v>
      </c>
      <c r="D3" s="7" t="s">
        <v>31</v>
      </c>
      <c r="E3" s="6" t="s">
        <v>32</v>
      </c>
      <c r="F3" s="7" t="s">
        <v>33</v>
      </c>
      <c r="G3" s="9" t="s">
        <v>34</v>
      </c>
      <c r="H3" s="9" t="s">
        <v>35</v>
      </c>
      <c r="I3" s="9" t="s">
        <v>36</v>
      </c>
      <c r="J3" s="12"/>
      <c r="K3" s="6" t="s">
        <v>25</v>
      </c>
      <c r="L3" s="5" t="s">
        <v>37</v>
      </c>
      <c r="M3" s="6" t="s">
        <v>38</v>
      </c>
      <c r="N3" s="6" t="s">
        <v>28</v>
      </c>
      <c r="O3" s="6" t="s">
        <v>39</v>
      </c>
      <c r="P3" s="6" t="s">
        <v>40</v>
      </c>
      <c r="Q3" s="11">
        <f t="shared" si="1"/>
        <v>403</v>
      </c>
      <c r="R3" s="11">
        <f t="shared" si="2"/>
        <v>200</v>
      </c>
    </row>
    <row r="4" ht="22.5" customHeight="1">
      <c r="A4" s="4">
        <v>45961.948028391205</v>
      </c>
      <c r="B4" s="5"/>
      <c r="C4" s="6" t="s">
        <v>18</v>
      </c>
      <c r="D4" s="7" t="s">
        <v>41</v>
      </c>
      <c r="E4" s="6" t="s">
        <v>42</v>
      </c>
      <c r="F4" s="7" t="s">
        <v>43</v>
      </c>
      <c r="G4" s="9" t="s">
        <v>44</v>
      </c>
      <c r="H4" s="9" t="s">
        <v>45</v>
      </c>
      <c r="I4" s="9" t="s">
        <v>46</v>
      </c>
      <c r="J4" s="12"/>
      <c r="K4" s="6" t="s">
        <v>47</v>
      </c>
      <c r="L4" s="6" t="s">
        <v>48</v>
      </c>
      <c r="M4" s="6" t="s">
        <v>49</v>
      </c>
      <c r="N4" s="6" t="s">
        <v>50</v>
      </c>
      <c r="O4" s="6" t="s">
        <v>51</v>
      </c>
      <c r="P4" s="6" t="s">
        <v>52</v>
      </c>
      <c r="Q4" s="11">
        <f t="shared" si="1"/>
        <v>200</v>
      </c>
      <c r="R4" s="11">
        <f t="shared" si="2"/>
        <v>200</v>
      </c>
    </row>
    <row r="5" ht="22.5" customHeight="1">
      <c r="A5" s="4">
        <v>45973.972556168985</v>
      </c>
      <c r="B5" s="6" t="s">
        <v>53</v>
      </c>
      <c r="C5" s="6" t="s">
        <v>18</v>
      </c>
      <c r="D5" s="6" t="s">
        <v>54</v>
      </c>
      <c r="E5" s="6" t="s">
        <v>55</v>
      </c>
      <c r="F5" s="6" t="s">
        <v>56</v>
      </c>
      <c r="G5" s="6" t="s">
        <v>57</v>
      </c>
      <c r="H5" s="13" t="s">
        <v>58</v>
      </c>
      <c r="I5" s="13" t="s">
        <v>59</v>
      </c>
      <c r="K5" s="6" t="s">
        <v>60</v>
      </c>
      <c r="L5" s="5" t="s">
        <v>61</v>
      </c>
      <c r="M5" s="6" t="s">
        <v>49</v>
      </c>
      <c r="N5" s="6" t="s">
        <v>50</v>
      </c>
      <c r="O5" s="6" t="s">
        <v>62</v>
      </c>
      <c r="P5" s="6" t="s">
        <v>62</v>
      </c>
      <c r="Q5" s="11" t="str">
        <f t="shared" si="1"/>
        <v>#ERROR!</v>
      </c>
      <c r="R5" s="11">
        <f t="shared" si="2"/>
        <v>404</v>
      </c>
    </row>
    <row r="6" ht="22.5" customHeight="1">
      <c r="A6" s="4">
        <v>45962.71938206018</v>
      </c>
      <c r="B6" s="5"/>
      <c r="C6" s="6" t="s">
        <v>18</v>
      </c>
      <c r="D6" s="7" t="s">
        <v>63</v>
      </c>
      <c r="E6" s="6" t="s">
        <v>64</v>
      </c>
      <c r="F6" s="7" t="s">
        <v>65</v>
      </c>
      <c r="G6" s="9" t="s">
        <v>66</v>
      </c>
      <c r="H6" s="9" t="s">
        <v>67</v>
      </c>
      <c r="I6" s="9" t="s">
        <v>68</v>
      </c>
      <c r="J6" s="12"/>
      <c r="K6" s="6" t="s">
        <v>47</v>
      </c>
      <c r="L6" s="5" t="s">
        <v>37</v>
      </c>
      <c r="M6" s="6" t="s">
        <v>49</v>
      </c>
      <c r="N6" s="6" t="s">
        <v>50</v>
      </c>
      <c r="O6" s="6" t="s">
        <v>62</v>
      </c>
      <c r="P6" s="6" t="s">
        <v>69</v>
      </c>
      <c r="Q6" s="11">
        <f t="shared" si="1"/>
        <v>200</v>
      </c>
      <c r="R6" s="11">
        <f t="shared" si="2"/>
        <v>200</v>
      </c>
    </row>
    <row r="7" ht="22.5" customHeight="1">
      <c r="A7" s="4">
        <v>45964.64921225695</v>
      </c>
      <c r="B7" s="5"/>
      <c r="C7" s="6" t="s">
        <v>18</v>
      </c>
      <c r="D7" s="6" t="s">
        <v>70</v>
      </c>
      <c r="E7" s="6" t="s">
        <v>71</v>
      </c>
      <c r="F7" s="6" t="s">
        <v>72</v>
      </c>
      <c r="G7" s="9" t="s">
        <v>73</v>
      </c>
      <c r="H7" s="9" t="s">
        <v>74</v>
      </c>
      <c r="I7" s="9" t="s">
        <v>75</v>
      </c>
      <c r="K7" s="6" t="s">
        <v>47</v>
      </c>
      <c r="L7" s="5" t="s">
        <v>76</v>
      </c>
      <c r="M7" s="6" t="s">
        <v>77</v>
      </c>
      <c r="N7" s="6" t="s">
        <v>50</v>
      </c>
      <c r="O7" s="6" t="s">
        <v>78</v>
      </c>
      <c r="P7" s="6" t="s">
        <v>79</v>
      </c>
      <c r="Q7" s="11">
        <f t="shared" si="1"/>
        <v>200</v>
      </c>
      <c r="R7" s="11">
        <f t="shared" si="2"/>
        <v>200</v>
      </c>
    </row>
    <row r="8" ht="22.5" customHeight="1">
      <c r="A8" s="4">
        <v>45962.03784055555</v>
      </c>
      <c r="B8" s="6" t="s">
        <v>80</v>
      </c>
      <c r="C8" s="6" t="s">
        <v>18</v>
      </c>
      <c r="D8" s="7" t="s">
        <v>81</v>
      </c>
      <c r="E8" s="6" t="s">
        <v>82</v>
      </c>
      <c r="F8" s="7" t="s">
        <v>83</v>
      </c>
      <c r="G8" s="9" t="s">
        <v>84</v>
      </c>
      <c r="H8" s="9" t="s">
        <v>85</v>
      </c>
      <c r="I8" s="9" t="s">
        <v>86</v>
      </c>
      <c r="J8" s="12"/>
      <c r="K8" s="6" t="s">
        <v>47</v>
      </c>
      <c r="L8" s="6" t="s">
        <v>87</v>
      </c>
      <c r="M8" s="6" t="s">
        <v>88</v>
      </c>
      <c r="N8" s="6" t="s">
        <v>50</v>
      </c>
      <c r="O8" s="6" t="s">
        <v>89</v>
      </c>
      <c r="P8" s="6" t="s">
        <v>90</v>
      </c>
      <c r="Q8" s="11">
        <f t="shared" si="1"/>
        <v>200</v>
      </c>
      <c r="R8" s="11">
        <f t="shared" si="2"/>
        <v>200</v>
      </c>
    </row>
    <row r="9" ht="22.5" customHeight="1">
      <c r="A9" s="4">
        <v>46031.742367569444</v>
      </c>
      <c r="B9" s="6" t="s">
        <v>91</v>
      </c>
      <c r="C9" s="6" t="s">
        <v>18</v>
      </c>
      <c r="D9" s="6" t="s">
        <v>92</v>
      </c>
      <c r="E9" s="6" t="s">
        <v>93</v>
      </c>
      <c r="F9" s="6" t="s">
        <v>94</v>
      </c>
      <c r="G9" s="9" t="s">
        <v>95</v>
      </c>
      <c r="H9" s="9" t="s">
        <v>96</v>
      </c>
      <c r="I9" s="9" t="s">
        <v>97</v>
      </c>
      <c r="K9" s="6" t="s">
        <v>60</v>
      </c>
      <c r="L9" s="5" t="s">
        <v>37</v>
      </c>
      <c r="M9" s="6" t="s">
        <v>88</v>
      </c>
      <c r="N9" s="6" t="s">
        <v>50</v>
      </c>
      <c r="O9" s="6" t="s">
        <v>98</v>
      </c>
      <c r="P9" s="6" t="s">
        <v>99</v>
      </c>
      <c r="Q9" s="11">
        <f t="shared" si="1"/>
        <v>200</v>
      </c>
      <c r="R9" s="11">
        <f t="shared" si="2"/>
        <v>200</v>
      </c>
    </row>
    <row r="10" ht="22.5" customHeight="1">
      <c r="A10" s="4">
        <v>46004.05153622685</v>
      </c>
      <c r="B10" s="6" t="s">
        <v>100</v>
      </c>
      <c r="C10" s="6" t="s">
        <v>18</v>
      </c>
      <c r="D10" s="6" t="s">
        <v>101</v>
      </c>
      <c r="E10" s="6" t="s">
        <v>102</v>
      </c>
      <c r="F10" s="6" t="s">
        <v>103</v>
      </c>
      <c r="G10" s="9" t="s">
        <v>104</v>
      </c>
      <c r="H10" s="9" t="s">
        <v>105</v>
      </c>
      <c r="I10" s="9" t="s">
        <v>106</v>
      </c>
      <c r="K10" s="6" t="s">
        <v>107</v>
      </c>
      <c r="L10" s="5" t="s">
        <v>108</v>
      </c>
      <c r="M10" s="6" t="s">
        <v>109</v>
      </c>
      <c r="N10" s="6" t="s">
        <v>110</v>
      </c>
      <c r="O10" s="6" t="s">
        <v>111</v>
      </c>
      <c r="P10" s="6" t="s">
        <v>112</v>
      </c>
      <c r="Q10" s="11">
        <f t="shared" si="1"/>
        <v>200</v>
      </c>
      <c r="R10" s="11">
        <f t="shared" si="2"/>
        <v>200</v>
      </c>
    </row>
    <row r="11" ht="22.5" customHeight="1">
      <c r="A11" s="4">
        <v>45968.792616990744</v>
      </c>
      <c r="B11" s="6" t="s">
        <v>113</v>
      </c>
      <c r="C11" s="6" t="s">
        <v>18</v>
      </c>
      <c r="D11" s="6" t="s">
        <v>114</v>
      </c>
      <c r="E11" s="6" t="s">
        <v>115</v>
      </c>
      <c r="F11" s="6" t="s">
        <v>116</v>
      </c>
      <c r="G11" s="9" t="s">
        <v>117</v>
      </c>
      <c r="H11" s="9" t="s">
        <v>118</v>
      </c>
      <c r="I11" s="9" t="s">
        <v>119</v>
      </c>
      <c r="K11" s="6" t="s">
        <v>120</v>
      </c>
      <c r="L11" s="5" t="s">
        <v>121</v>
      </c>
      <c r="M11" s="6" t="s">
        <v>122</v>
      </c>
      <c r="N11" s="6" t="s">
        <v>50</v>
      </c>
      <c r="O11" s="6" t="s">
        <v>123</v>
      </c>
      <c r="P11" s="6" t="s">
        <v>124</v>
      </c>
      <c r="Q11" s="11">
        <f t="shared" si="1"/>
        <v>200</v>
      </c>
      <c r="R11" s="11">
        <f t="shared" si="2"/>
        <v>200</v>
      </c>
    </row>
    <row r="12" ht="22.5" customHeight="1">
      <c r="A12" s="4">
        <v>45964.77802197917</v>
      </c>
      <c r="B12" s="5"/>
      <c r="C12" s="6" t="s">
        <v>18</v>
      </c>
      <c r="D12" s="6" t="s">
        <v>125</v>
      </c>
      <c r="E12" s="6" t="s">
        <v>126</v>
      </c>
      <c r="F12" s="6" t="s">
        <v>127</v>
      </c>
      <c r="G12" s="9" t="s">
        <v>128</v>
      </c>
      <c r="H12" s="9" t="s">
        <v>129</v>
      </c>
      <c r="I12" s="14" t="s">
        <v>130</v>
      </c>
      <c r="K12" s="6" t="s">
        <v>47</v>
      </c>
      <c r="L12" s="5" t="s">
        <v>131</v>
      </c>
      <c r="M12" s="6" t="s">
        <v>88</v>
      </c>
      <c r="N12" s="6" t="s">
        <v>50</v>
      </c>
      <c r="O12" s="6" t="s">
        <v>132</v>
      </c>
      <c r="P12" s="6" t="s">
        <v>133</v>
      </c>
      <c r="Q12" s="11">
        <f t="shared" si="1"/>
        <v>200</v>
      </c>
      <c r="R12" s="11">
        <f t="shared" si="2"/>
        <v>200</v>
      </c>
    </row>
    <row r="13" ht="22.5" customHeight="1">
      <c r="A13" s="4">
        <v>45987.64200759259</v>
      </c>
      <c r="B13" s="6" t="s">
        <v>134</v>
      </c>
      <c r="C13" s="6" t="s">
        <v>18</v>
      </c>
      <c r="D13" s="6" t="s">
        <v>135</v>
      </c>
      <c r="E13" s="6" t="s">
        <v>136</v>
      </c>
      <c r="F13" s="6" t="s">
        <v>137</v>
      </c>
      <c r="G13" s="9" t="s">
        <v>138</v>
      </c>
      <c r="H13" s="9" t="s">
        <v>139</v>
      </c>
      <c r="I13" s="9" t="s">
        <v>140</v>
      </c>
      <c r="K13" s="6" t="s">
        <v>141</v>
      </c>
      <c r="L13" s="5" t="s">
        <v>37</v>
      </c>
      <c r="M13" s="6" t="s">
        <v>142</v>
      </c>
      <c r="N13" s="6" t="s">
        <v>50</v>
      </c>
      <c r="O13" s="6" t="s">
        <v>143</v>
      </c>
      <c r="P13" s="6" t="s">
        <v>144</v>
      </c>
      <c r="Q13" s="11">
        <f t="shared" si="1"/>
        <v>403</v>
      </c>
      <c r="R13" s="11">
        <f t="shared" si="2"/>
        <v>200</v>
      </c>
    </row>
    <row r="14" ht="22.5" customHeight="1">
      <c r="A14" s="4">
        <v>45979.717361111114</v>
      </c>
      <c r="B14" s="6" t="s">
        <v>145</v>
      </c>
      <c r="C14" s="6" t="s">
        <v>18</v>
      </c>
      <c r="D14" s="7" t="s">
        <v>146</v>
      </c>
      <c r="E14" s="6" t="s">
        <v>147</v>
      </c>
      <c r="F14" s="7" t="s">
        <v>148</v>
      </c>
      <c r="G14" s="9" t="s">
        <v>149</v>
      </c>
      <c r="H14" s="14" t="s">
        <v>150</v>
      </c>
      <c r="I14" s="15" t="s">
        <v>151</v>
      </c>
      <c r="J14" s="7"/>
      <c r="K14" s="6" t="s">
        <v>152</v>
      </c>
      <c r="L14" s="5" t="s">
        <v>153</v>
      </c>
      <c r="M14" s="6" t="s">
        <v>154</v>
      </c>
      <c r="N14" s="6" t="s">
        <v>155</v>
      </c>
      <c r="O14" s="6" t="s">
        <v>156</v>
      </c>
      <c r="P14" s="6" t="s">
        <v>157</v>
      </c>
      <c r="Q14" s="11">
        <f t="shared" si="1"/>
        <v>200</v>
      </c>
      <c r="R14" s="11">
        <f t="shared" si="2"/>
        <v>200</v>
      </c>
    </row>
    <row r="15" ht="22.5" customHeight="1">
      <c r="A15" s="4">
        <v>45979.717361111114</v>
      </c>
      <c r="B15" s="6" t="s">
        <v>145</v>
      </c>
      <c r="C15" s="6" t="s">
        <v>18</v>
      </c>
      <c r="D15" s="6" t="s">
        <v>158</v>
      </c>
      <c r="E15" s="6" t="s">
        <v>159</v>
      </c>
      <c r="F15" s="6" t="s">
        <v>160</v>
      </c>
      <c r="G15" s="9" t="s">
        <v>161</v>
      </c>
      <c r="H15" s="16" t="s">
        <v>162</v>
      </c>
      <c r="I15" s="13" t="s">
        <v>163</v>
      </c>
      <c r="J15" s="7"/>
      <c r="K15" s="6" t="s">
        <v>152</v>
      </c>
      <c r="L15" s="5" t="s">
        <v>153</v>
      </c>
      <c r="M15" s="6" t="s">
        <v>154</v>
      </c>
      <c r="N15" s="6" t="s">
        <v>155</v>
      </c>
      <c r="O15" s="6" t="s">
        <v>164</v>
      </c>
      <c r="P15" s="6" t="s">
        <v>165</v>
      </c>
      <c r="Q15" s="11">
        <f t="shared" si="1"/>
        <v>200</v>
      </c>
      <c r="R15" s="11">
        <f t="shared" si="2"/>
        <v>200</v>
      </c>
    </row>
    <row r="16" ht="22.5" customHeight="1">
      <c r="A16" s="4">
        <v>45967.508642650464</v>
      </c>
      <c r="B16" s="6" t="s">
        <v>166</v>
      </c>
      <c r="C16" s="6" t="s">
        <v>18</v>
      </c>
      <c r="D16" s="6" t="s">
        <v>167</v>
      </c>
      <c r="E16" s="6" t="s">
        <v>168</v>
      </c>
      <c r="F16" s="6" t="s">
        <v>169</v>
      </c>
      <c r="G16" s="9" t="s">
        <v>170</v>
      </c>
      <c r="H16" s="16" t="s">
        <v>171</v>
      </c>
      <c r="I16" s="9" t="s">
        <v>172</v>
      </c>
      <c r="K16" s="6" t="s">
        <v>173</v>
      </c>
      <c r="L16" s="5" t="s">
        <v>174</v>
      </c>
      <c r="M16" s="6" t="s">
        <v>175</v>
      </c>
      <c r="N16" s="6" t="s">
        <v>50</v>
      </c>
      <c r="O16" s="6" t="s">
        <v>176</v>
      </c>
      <c r="P16" s="6" t="s">
        <v>177</v>
      </c>
      <c r="Q16" s="11">
        <f t="shared" si="1"/>
        <v>403</v>
      </c>
      <c r="R16" s="11">
        <f t="shared" si="2"/>
        <v>200</v>
      </c>
    </row>
    <row r="17" ht="22.5" customHeight="1">
      <c r="A17" s="4">
        <v>45973.934502187505</v>
      </c>
      <c r="B17" s="6" t="s">
        <v>178</v>
      </c>
      <c r="C17" s="6" t="s">
        <v>18</v>
      </c>
      <c r="D17" s="6" t="s">
        <v>179</v>
      </c>
      <c r="E17" s="6" t="s">
        <v>180</v>
      </c>
      <c r="F17" s="6" t="s">
        <v>181</v>
      </c>
      <c r="G17" s="9" t="s">
        <v>182</v>
      </c>
      <c r="H17" s="9" t="s">
        <v>183</v>
      </c>
      <c r="I17" s="9" t="s">
        <v>184</v>
      </c>
      <c r="K17" s="6" t="s">
        <v>185</v>
      </c>
      <c r="L17" s="5" t="s">
        <v>186</v>
      </c>
      <c r="M17" s="6" t="s">
        <v>187</v>
      </c>
      <c r="N17" s="6" t="s">
        <v>50</v>
      </c>
      <c r="O17" s="6" t="s">
        <v>188</v>
      </c>
      <c r="P17" s="6" t="s">
        <v>189</v>
      </c>
      <c r="Q17" s="11">
        <f t="shared" si="1"/>
        <v>403</v>
      </c>
      <c r="R17" s="11">
        <f t="shared" si="2"/>
        <v>200</v>
      </c>
    </row>
    <row r="18" ht="22.5" customHeight="1">
      <c r="A18" s="4">
        <v>45975.47233664352</v>
      </c>
      <c r="B18" s="6" t="s">
        <v>190</v>
      </c>
      <c r="C18" s="6" t="s">
        <v>191</v>
      </c>
      <c r="D18" s="6" t="s">
        <v>192</v>
      </c>
      <c r="E18" s="6" t="s">
        <v>193</v>
      </c>
      <c r="F18" s="17" t="s">
        <v>194</v>
      </c>
      <c r="G18" s="9" t="s">
        <v>195</v>
      </c>
      <c r="H18" s="9" t="s">
        <v>196</v>
      </c>
      <c r="I18" s="9" t="s">
        <v>197</v>
      </c>
      <c r="K18" s="6" t="s">
        <v>198</v>
      </c>
      <c r="L18" s="5" t="s">
        <v>199</v>
      </c>
      <c r="M18" s="6" t="s">
        <v>187</v>
      </c>
      <c r="N18" s="6" t="s">
        <v>50</v>
      </c>
      <c r="O18" s="6" t="s">
        <v>200</v>
      </c>
      <c r="P18" s="6" t="s">
        <v>201</v>
      </c>
      <c r="Q18" s="11">
        <f t="shared" si="1"/>
        <v>200</v>
      </c>
      <c r="R18" s="11">
        <f t="shared" si="2"/>
        <v>200</v>
      </c>
    </row>
    <row r="19" ht="22.5" customHeight="1">
      <c r="A19" s="4">
        <v>45977.15405311342</v>
      </c>
      <c r="B19" s="6" t="s">
        <v>202</v>
      </c>
      <c r="C19" s="6" t="s">
        <v>191</v>
      </c>
      <c r="D19" s="6" t="s">
        <v>203</v>
      </c>
      <c r="E19" s="6" t="s">
        <v>204</v>
      </c>
      <c r="F19" s="6" t="s">
        <v>205</v>
      </c>
      <c r="G19" s="9" t="s">
        <v>206</v>
      </c>
      <c r="H19" s="9" t="s">
        <v>207</v>
      </c>
      <c r="I19" s="9" t="s">
        <v>208</v>
      </c>
      <c r="K19" s="6" t="s">
        <v>198</v>
      </c>
      <c r="L19" s="5" t="s">
        <v>199</v>
      </c>
      <c r="M19" s="6" t="s">
        <v>49</v>
      </c>
      <c r="N19" s="6" t="s">
        <v>110</v>
      </c>
      <c r="O19" s="6" t="s">
        <v>209</v>
      </c>
      <c r="P19" s="6" t="s">
        <v>210</v>
      </c>
      <c r="Q19" s="11">
        <f t="shared" si="1"/>
        <v>200</v>
      </c>
      <c r="R19" s="11">
        <f t="shared" si="2"/>
        <v>403</v>
      </c>
    </row>
    <row r="20" ht="22.5" customHeight="1">
      <c r="A20" s="4">
        <v>46032.02806266204</v>
      </c>
      <c r="B20" s="6" t="s">
        <v>80</v>
      </c>
      <c r="C20" s="6" t="s">
        <v>191</v>
      </c>
      <c r="D20" s="6" t="s">
        <v>211</v>
      </c>
      <c r="E20" s="6" t="s">
        <v>212</v>
      </c>
      <c r="F20" s="6" t="s">
        <v>213</v>
      </c>
      <c r="G20" s="9" t="s">
        <v>214</v>
      </c>
      <c r="H20" s="9" t="s">
        <v>215</v>
      </c>
      <c r="I20" s="9" t="s">
        <v>216</v>
      </c>
      <c r="K20" s="6" t="s">
        <v>60</v>
      </c>
      <c r="L20" s="5" t="s">
        <v>37</v>
      </c>
      <c r="M20" s="6" t="s">
        <v>187</v>
      </c>
      <c r="N20" s="6" t="s">
        <v>110</v>
      </c>
      <c r="O20" s="6" t="s">
        <v>217</v>
      </c>
      <c r="P20" s="6" t="s">
        <v>218</v>
      </c>
      <c r="Q20" s="11">
        <f t="shared" si="1"/>
        <v>200</v>
      </c>
      <c r="R20" s="11">
        <f t="shared" si="2"/>
        <v>200</v>
      </c>
    </row>
    <row r="21" ht="22.5" customHeight="1">
      <c r="A21" s="4">
        <v>45965.726672199075</v>
      </c>
      <c r="B21" s="6" t="s">
        <v>91</v>
      </c>
      <c r="C21" s="6" t="s">
        <v>191</v>
      </c>
      <c r="D21" s="6" t="s">
        <v>219</v>
      </c>
      <c r="E21" s="6" t="s">
        <v>220</v>
      </c>
      <c r="F21" s="6" t="s">
        <v>221</v>
      </c>
      <c r="G21" s="9" t="s">
        <v>222</v>
      </c>
      <c r="H21" s="9" t="s">
        <v>223</v>
      </c>
      <c r="I21" s="9" t="s">
        <v>224</v>
      </c>
      <c r="K21" s="6" t="s">
        <v>47</v>
      </c>
      <c r="L21" s="5" t="s">
        <v>37</v>
      </c>
      <c r="M21" s="6" t="s">
        <v>225</v>
      </c>
      <c r="N21" s="6" t="s">
        <v>50</v>
      </c>
      <c r="O21" s="6" t="s">
        <v>226</v>
      </c>
      <c r="P21" s="6" t="s">
        <v>227</v>
      </c>
      <c r="Q21" s="11">
        <f t="shared" si="1"/>
        <v>200</v>
      </c>
      <c r="R21" s="11">
        <f t="shared" si="2"/>
        <v>200</v>
      </c>
    </row>
    <row r="22" ht="22.5" customHeight="1">
      <c r="A22" s="4">
        <v>45965.74423630787</v>
      </c>
      <c r="B22" s="6" t="s">
        <v>91</v>
      </c>
      <c r="C22" s="6" t="s">
        <v>191</v>
      </c>
      <c r="D22" s="6" t="s">
        <v>228</v>
      </c>
      <c r="E22" s="6" t="s">
        <v>229</v>
      </c>
      <c r="F22" s="6" t="s">
        <v>230</v>
      </c>
      <c r="G22" s="9" t="s">
        <v>231</v>
      </c>
      <c r="H22" s="9" t="s">
        <v>232</v>
      </c>
      <c r="I22" s="9" t="s">
        <v>233</v>
      </c>
      <c r="K22" s="6" t="s">
        <v>234</v>
      </c>
      <c r="L22" s="5" t="s">
        <v>37</v>
      </c>
      <c r="M22" s="6" t="s">
        <v>225</v>
      </c>
      <c r="N22" s="6" t="s">
        <v>28</v>
      </c>
      <c r="O22" s="6" t="s">
        <v>235</v>
      </c>
      <c r="P22" s="6" t="s">
        <v>236</v>
      </c>
      <c r="Q22" s="11">
        <f t="shared" si="1"/>
        <v>200</v>
      </c>
      <c r="R22" s="11">
        <f t="shared" si="2"/>
        <v>200</v>
      </c>
    </row>
    <row r="23" ht="22.5" customHeight="1">
      <c r="A23" s="4">
        <v>46030.625660289355</v>
      </c>
      <c r="B23" s="6" t="s">
        <v>237</v>
      </c>
      <c r="C23" s="6" t="s">
        <v>191</v>
      </c>
      <c r="D23" s="6" t="s">
        <v>238</v>
      </c>
      <c r="E23" s="6" t="s">
        <v>239</v>
      </c>
      <c r="F23" s="6" t="s">
        <v>240</v>
      </c>
      <c r="G23" s="9" t="s">
        <v>241</v>
      </c>
      <c r="H23" s="9" t="s">
        <v>242</v>
      </c>
      <c r="I23" s="9" t="s">
        <v>243</v>
      </c>
      <c r="K23" s="6" t="s">
        <v>60</v>
      </c>
      <c r="L23" s="5" t="s">
        <v>244</v>
      </c>
      <c r="M23" s="6" t="s">
        <v>245</v>
      </c>
      <c r="N23" s="6" t="s">
        <v>50</v>
      </c>
      <c r="O23" s="6" t="s">
        <v>246</v>
      </c>
      <c r="P23" s="6" t="s">
        <v>247</v>
      </c>
      <c r="Q23" s="11">
        <f t="shared" si="1"/>
        <v>200</v>
      </c>
      <c r="R23" s="11">
        <f t="shared" si="2"/>
        <v>200</v>
      </c>
    </row>
    <row r="24" ht="22.5" customHeight="1">
      <c r="A24" s="4">
        <v>45962.74445758102</v>
      </c>
      <c r="B24" s="5"/>
      <c r="C24" s="6" t="s">
        <v>191</v>
      </c>
      <c r="D24" s="7" t="s">
        <v>248</v>
      </c>
      <c r="E24" s="6" t="s">
        <v>249</v>
      </c>
      <c r="F24" s="7" t="s">
        <v>250</v>
      </c>
      <c r="G24" s="9" t="s">
        <v>251</v>
      </c>
      <c r="H24" s="9" t="s">
        <v>252</v>
      </c>
      <c r="I24" s="9" t="s">
        <v>253</v>
      </c>
      <c r="J24" s="12"/>
      <c r="K24" s="6" t="s">
        <v>25</v>
      </c>
      <c r="L24" s="5" t="s">
        <v>37</v>
      </c>
      <c r="M24" s="6" t="s">
        <v>27</v>
      </c>
      <c r="N24" s="6" t="s">
        <v>28</v>
      </c>
      <c r="O24" s="6" t="s">
        <v>254</v>
      </c>
      <c r="P24" s="6" t="s">
        <v>255</v>
      </c>
      <c r="Q24" s="11">
        <f t="shared" si="1"/>
        <v>200</v>
      </c>
      <c r="R24" s="11">
        <f t="shared" si="2"/>
        <v>200</v>
      </c>
    </row>
    <row r="25" ht="22.5" customHeight="1">
      <c r="A25" s="4">
        <v>46121.629509791666</v>
      </c>
      <c r="B25" s="6" t="s">
        <v>256</v>
      </c>
      <c r="C25" s="6" t="s">
        <v>191</v>
      </c>
      <c r="D25" s="6" t="s">
        <v>257</v>
      </c>
      <c r="E25" s="6" t="s">
        <v>258</v>
      </c>
      <c r="F25" s="6" t="s">
        <v>259</v>
      </c>
      <c r="G25" s="9" t="s">
        <v>260</v>
      </c>
      <c r="H25" s="9" t="s">
        <v>261</v>
      </c>
      <c r="I25" s="9" t="s">
        <v>262</v>
      </c>
      <c r="K25" s="6" t="s">
        <v>263</v>
      </c>
      <c r="L25" s="6" t="s">
        <v>264</v>
      </c>
      <c r="M25" s="6" t="s">
        <v>265</v>
      </c>
      <c r="N25" s="6" t="s">
        <v>110</v>
      </c>
      <c r="O25" s="6" t="s">
        <v>266</v>
      </c>
      <c r="P25" s="6" t="s">
        <v>267</v>
      </c>
      <c r="Q25" s="18">
        <f t="shared" si="1"/>
        <v>200</v>
      </c>
      <c r="R25" s="18">
        <f t="shared" si="2"/>
        <v>200</v>
      </c>
    </row>
    <row r="26" ht="22.5" customHeight="1">
      <c r="A26" s="4">
        <v>45973.95247222223</v>
      </c>
      <c r="B26" s="6" t="s">
        <v>268</v>
      </c>
      <c r="C26" s="6" t="s">
        <v>269</v>
      </c>
      <c r="D26" s="6" t="s">
        <v>270</v>
      </c>
      <c r="E26" s="6" t="s">
        <v>271</v>
      </c>
      <c r="F26" s="6" t="s">
        <v>272</v>
      </c>
      <c r="G26" s="9" t="s">
        <v>273</v>
      </c>
      <c r="H26" s="9" t="s">
        <v>274</v>
      </c>
      <c r="I26" s="9" t="s">
        <v>275</v>
      </c>
      <c r="J26" s="6" t="s">
        <v>276</v>
      </c>
      <c r="K26" s="6" t="s">
        <v>198</v>
      </c>
      <c r="L26" s="5" t="s">
        <v>277</v>
      </c>
      <c r="M26" s="6" t="s">
        <v>187</v>
      </c>
      <c r="O26" s="6" t="s">
        <v>278</v>
      </c>
      <c r="P26" s="6" t="s">
        <v>279</v>
      </c>
      <c r="Q26" s="11">
        <f t="shared" si="1"/>
        <v>200</v>
      </c>
      <c r="R26" s="11">
        <f t="shared" si="2"/>
        <v>200</v>
      </c>
    </row>
    <row r="27" ht="22.5" customHeight="1">
      <c r="A27" s="4">
        <v>45964.856173356486</v>
      </c>
      <c r="B27" s="5"/>
      <c r="C27" s="6" t="s">
        <v>269</v>
      </c>
      <c r="D27" s="6" t="s">
        <v>280</v>
      </c>
      <c r="E27" s="6" t="s">
        <v>281</v>
      </c>
      <c r="F27" s="6" t="s">
        <v>282</v>
      </c>
      <c r="G27" s="9" t="s">
        <v>283</v>
      </c>
      <c r="H27" s="9" t="s">
        <v>284</v>
      </c>
      <c r="I27" s="14" t="s">
        <v>285</v>
      </c>
      <c r="J27" s="6" t="s">
        <v>286</v>
      </c>
      <c r="K27" s="6" t="s">
        <v>287</v>
      </c>
      <c r="L27" s="5" t="s">
        <v>37</v>
      </c>
      <c r="M27" s="6" t="s">
        <v>27</v>
      </c>
      <c r="O27" s="6" t="s">
        <v>288</v>
      </c>
      <c r="P27" s="6" t="s">
        <v>289</v>
      </c>
      <c r="Q27" s="11">
        <f t="shared" si="1"/>
        <v>200</v>
      </c>
      <c r="R27" s="11">
        <f t="shared" si="2"/>
        <v>200</v>
      </c>
    </row>
    <row r="28" ht="22.5" customHeight="1">
      <c r="A28" s="4">
        <v>45964.86003099537</v>
      </c>
      <c r="B28" s="5"/>
      <c r="C28" s="6" t="s">
        <v>269</v>
      </c>
      <c r="D28" s="6" t="s">
        <v>290</v>
      </c>
      <c r="E28" s="6" t="s">
        <v>291</v>
      </c>
      <c r="F28" s="6" t="s">
        <v>292</v>
      </c>
      <c r="G28" s="9" t="s">
        <v>293</v>
      </c>
      <c r="H28" s="14" t="s">
        <v>294</v>
      </c>
      <c r="I28" s="13" t="s">
        <v>295</v>
      </c>
      <c r="J28" s="6" t="s">
        <v>276</v>
      </c>
      <c r="K28" s="6" t="s">
        <v>287</v>
      </c>
      <c r="L28" s="5" t="s">
        <v>296</v>
      </c>
      <c r="M28" s="6" t="s">
        <v>187</v>
      </c>
      <c r="O28" s="6" t="s">
        <v>297</v>
      </c>
      <c r="P28" s="6" t="s">
        <v>298</v>
      </c>
      <c r="Q28" s="11">
        <f t="shared" si="1"/>
        <v>403</v>
      </c>
      <c r="R28" s="11">
        <f t="shared" si="2"/>
        <v>200</v>
      </c>
    </row>
    <row r="29" ht="22.5" customHeight="1">
      <c r="A29" s="4">
        <v>45966.24933918982</v>
      </c>
      <c r="B29" s="6" t="s">
        <v>299</v>
      </c>
      <c r="C29" s="6" t="s">
        <v>269</v>
      </c>
      <c r="D29" s="6" t="s">
        <v>300</v>
      </c>
      <c r="E29" s="6" t="s">
        <v>301</v>
      </c>
      <c r="F29" s="6" t="s">
        <v>302</v>
      </c>
      <c r="G29" s="9" t="s">
        <v>303</v>
      </c>
      <c r="H29" s="9" t="s">
        <v>304</v>
      </c>
      <c r="I29" s="9" t="s">
        <v>303</v>
      </c>
      <c r="J29" s="6" t="s">
        <v>276</v>
      </c>
      <c r="K29" s="6" t="s">
        <v>198</v>
      </c>
      <c r="L29" s="5" t="s">
        <v>305</v>
      </c>
      <c r="M29" s="6" t="s">
        <v>38</v>
      </c>
      <c r="O29" s="6" t="s">
        <v>306</v>
      </c>
      <c r="P29" s="6" t="s">
        <v>307</v>
      </c>
      <c r="Q29" s="11">
        <f t="shared" si="1"/>
        <v>200</v>
      </c>
      <c r="R29" s="11">
        <f t="shared" si="2"/>
        <v>200</v>
      </c>
    </row>
    <row r="30" ht="22.5" customHeight="1">
      <c r="A30" s="4">
        <v>45961.909583877314</v>
      </c>
      <c r="B30" s="6" t="s">
        <v>308</v>
      </c>
      <c r="C30" s="6" t="s">
        <v>269</v>
      </c>
      <c r="D30" s="7" t="s">
        <v>309</v>
      </c>
      <c r="E30" s="6" t="s">
        <v>310</v>
      </c>
      <c r="F30" s="7" t="s">
        <v>311</v>
      </c>
      <c r="G30" s="9" t="s">
        <v>312</v>
      </c>
      <c r="H30" s="9" t="s">
        <v>313</v>
      </c>
      <c r="I30" s="14" t="s">
        <v>314</v>
      </c>
      <c r="J30" s="7" t="s">
        <v>276</v>
      </c>
      <c r="K30" s="6" t="s">
        <v>198</v>
      </c>
      <c r="L30" s="6" t="s">
        <v>315</v>
      </c>
      <c r="M30" s="6" t="s">
        <v>38</v>
      </c>
      <c r="O30" s="6" t="s">
        <v>316</v>
      </c>
      <c r="P30" s="6" t="s">
        <v>317</v>
      </c>
      <c r="Q30" s="11">
        <f t="shared" si="1"/>
        <v>200</v>
      </c>
      <c r="R30" s="11">
        <f t="shared" si="2"/>
        <v>200</v>
      </c>
    </row>
    <row r="31" ht="22.5" customHeight="1">
      <c r="A31" s="4">
        <v>45961.91270586806</v>
      </c>
      <c r="B31" s="6" t="s">
        <v>308</v>
      </c>
      <c r="C31" s="6" t="s">
        <v>269</v>
      </c>
      <c r="D31" s="7" t="s">
        <v>318</v>
      </c>
      <c r="E31" s="6" t="s">
        <v>319</v>
      </c>
      <c r="F31" s="7" t="s">
        <v>320</v>
      </c>
      <c r="G31" s="9" t="s">
        <v>321</v>
      </c>
      <c r="H31" s="19" t="s">
        <v>322</v>
      </c>
      <c r="I31" s="9" t="s">
        <v>323</v>
      </c>
      <c r="J31" s="20" t="s">
        <v>286</v>
      </c>
      <c r="K31" s="6" t="s">
        <v>324</v>
      </c>
      <c r="L31" s="6" t="s">
        <v>325</v>
      </c>
      <c r="M31" s="6" t="s">
        <v>38</v>
      </c>
      <c r="O31" s="6" t="s">
        <v>326</v>
      </c>
      <c r="P31" s="6" t="s">
        <v>327</v>
      </c>
      <c r="Q31" s="11">
        <f t="shared" si="1"/>
        <v>403</v>
      </c>
      <c r="R31" s="11">
        <f t="shared" si="2"/>
        <v>200</v>
      </c>
    </row>
    <row r="32" ht="22.5" customHeight="1">
      <c r="A32" s="4">
        <v>46031.76012199074</v>
      </c>
      <c r="B32" s="6" t="s">
        <v>80</v>
      </c>
      <c r="C32" s="6" t="s">
        <v>269</v>
      </c>
      <c r="D32" s="6" t="s">
        <v>328</v>
      </c>
      <c r="E32" s="6" t="s">
        <v>329</v>
      </c>
      <c r="F32" s="6" t="s">
        <v>330</v>
      </c>
      <c r="G32" s="9" t="s">
        <v>331</v>
      </c>
      <c r="H32" s="9" t="s">
        <v>332</v>
      </c>
      <c r="I32" s="9" t="s">
        <v>333</v>
      </c>
      <c r="J32" s="6" t="s">
        <v>276</v>
      </c>
      <c r="K32" s="6" t="s">
        <v>198</v>
      </c>
      <c r="L32" s="5" t="s">
        <v>334</v>
      </c>
      <c r="M32" s="6" t="s">
        <v>38</v>
      </c>
      <c r="O32" s="6" t="s">
        <v>335</v>
      </c>
      <c r="P32" s="6" t="s">
        <v>336</v>
      </c>
      <c r="Q32" s="11">
        <f t="shared" si="1"/>
        <v>200</v>
      </c>
      <c r="R32" s="11">
        <f t="shared" si="2"/>
        <v>200</v>
      </c>
    </row>
    <row r="33" ht="22.5" customHeight="1">
      <c r="A33" s="4">
        <v>45973.95894170139</v>
      </c>
      <c r="B33" s="6" t="s">
        <v>268</v>
      </c>
      <c r="C33" s="6" t="s">
        <v>269</v>
      </c>
      <c r="D33" s="6" t="s">
        <v>337</v>
      </c>
      <c r="E33" s="6" t="s">
        <v>338</v>
      </c>
      <c r="F33" s="6" t="s">
        <v>339</v>
      </c>
      <c r="G33" s="9" t="s">
        <v>340</v>
      </c>
      <c r="H33" s="9" t="s">
        <v>332</v>
      </c>
      <c r="I33" s="9" t="s">
        <v>341</v>
      </c>
      <c r="J33" s="6" t="s">
        <v>276</v>
      </c>
      <c r="K33" s="6" t="s">
        <v>198</v>
      </c>
      <c r="L33" s="5" t="s">
        <v>342</v>
      </c>
      <c r="M33" s="6" t="s">
        <v>187</v>
      </c>
      <c r="O33" s="6" t="s">
        <v>343</v>
      </c>
      <c r="P33" s="6" t="s">
        <v>344</v>
      </c>
      <c r="Q33" s="11">
        <f t="shared" si="1"/>
        <v>403</v>
      </c>
      <c r="R33" s="11">
        <f t="shared" si="2"/>
        <v>200</v>
      </c>
    </row>
    <row r="34" ht="22.5" customHeight="1">
      <c r="A34" s="4">
        <v>45973.96275752315</v>
      </c>
      <c r="B34" s="6" t="s">
        <v>268</v>
      </c>
      <c r="C34" s="6" t="s">
        <v>269</v>
      </c>
      <c r="D34" s="6" t="s">
        <v>345</v>
      </c>
      <c r="E34" s="6" t="s">
        <v>346</v>
      </c>
      <c r="F34" s="6" t="s">
        <v>347</v>
      </c>
      <c r="G34" s="9" t="s">
        <v>348</v>
      </c>
      <c r="H34" s="9" t="s">
        <v>349</v>
      </c>
      <c r="I34" s="9" t="s">
        <v>350</v>
      </c>
      <c r="J34" s="6" t="s">
        <v>276</v>
      </c>
      <c r="K34" s="6" t="s">
        <v>198</v>
      </c>
      <c r="L34" s="5" t="s">
        <v>351</v>
      </c>
      <c r="M34" s="6" t="s">
        <v>187</v>
      </c>
      <c r="O34" s="6" t="s">
        <v>352</v>
      </c>
      <c r="P34" s="6" t="s">
        <v>353</v>
      </c>
      <c r="Q34" s="11">
        <f t="shared" si="1"/>
        <v>403</v>
      </c>
      <c r="R34" s="11">
        <f t="shared" si="2"/>
        <v>200</v>
      </c>
    </row>
    <row r="35" ht="22.5" customHeight="1">
      <c r="A35" s="4">
        <v>45965.777433888885</v>
      </c>
      <c r="B35" s="6" t="s">
        <v>80</v>
      </c>
      <c r="C35" s="6" t="s">
        <v>269</v>
      </c>
      <c r="D35" s="6" t="s">
        <v>354</v>
      </c>
      <c r="E35" s="6" t="s">
        <v>355</v>
      </c>
      <c r="F35" s="6" t="s">
        <v>356</v>
      </c>
      <c r="G35" s="9" t="s">
        <v>357</v>
      </c>
      <c r="H35" s="9" t="s">
        <v>358</v>
      </c>
      <c r="I35" s="9" t="s">
        <v>359</v>
      </c>
      <c r="J35" s="6" t="s">
        <v>276</v>
      </c>
      <c r="K35" s="6" t="s">
        <v>287</v>
      </c>
      <c r="L35" s="5" t="s">
        <v>360</v>
      </c>
      <c r="M35" s="6" t="s">
        <v>27</v>
      </c>
      <c r="O35" s="6" t="s">
        <v>361</v>
      </c>
      <c r="P35" s="6" t="s">
        <v>362</v>
      </c>
      <c r="Q35" s="11">
        <f t="shared" si="1"/>
        <v>200</v>
      </c>
      <c r="R35" s="11">
        <f t="shared" si="2"/>
        <v>200</v>
      </c>
    </row>
    <row r="36" ht="22.5" customHeight="1">
      <c r="A36" s="4">
        <v>45965.78585724537</v>
      </c>
      <c r="B36" s="6" t="s">
        <v>80</v>
      </c>
      <c r="C36" s="6" t="s">
        <v>269</v>
      </c>
      <c r="D36" s="6" t="s">
        <v>363</v>
      </c>
      <c r="E36" s="6" t="s">
        <v>364</v>
      </c>
      <c r="F36" s="6" t="s">
        <v>365</v>
      </c>
      <c r="G36" s="9" t="s">
        <v>366</v>
      </c>
      <c r="H36" s="9" t="s">
        <v>367</v>
      </c>
      <c r="I36" s="13" t="s">
        <v>368</v>
      </c>
      <c r="J36" s="6" t="s">
        <v>286</v>
      </c>
      <c r="K36" s="6" t="s">
        <v>287</v>
      </c>
      <c r="L36" s="5" t="s">
        <v>369</v>
      </c>
      <c r="M36" s="6" t="s">
        <v>27</v>
      </c>
      <c r="O36" s="6" t="s">
        <v>370</v>
      </c>
      <c r="P36" s="6" t="s">
        <v>371</v>
      </c>
      <c r="Q36" s="11">
        <f t="shared" si="1"/>
        <v>200</v>
      </c>
      <c r="R36" s="11">
        <f t="shared" si="2"/>
        <v>200</v>
      </c>
    </row>
    <row r="37" ht="22.5" customHeight="1">
      <c r="A37" s="4">
        <v>46031.76585737268</v>
      </c>
      <c r="B37" s="6" t="s">
        <v>80</v>
      </c>
      <c r="C37" s="6" t="s">
        <v>269</v>
      </c>
      <c r="D37" s="6" t="s">
        <v>372</v>
      </c>
      <c r="E37" s="6" t="s">
        <v>373</v>
      </c>
      <c r="F37" s="6" t="s">
        <v>374</v>
      </c>
      <c r="G37" s="9" t="s">
        <v>375</v>
      </c>
      <c r="H37" s="9" t="s">
        <v>376</v>
      </c>
      <c r="I37" s="9" t="s">
        <v>377</v>
      </c>
      <c r="J37" s="6" t="s">
        <v>378</v>
      </c>
      <c r="K37" s="6" t="s">
        <v>379</v>
      </c>
      <c r="L37" s="5" t="s">
        <v>380</v>
      </c>
      <c r="M37" s="6" t="s">
        <v>187</v>
      </c>
      <c r="O37" s="6" t="s">
        <v>381</v>
      </c>
      <c r="P37" s="6" t="s">
        <v>382</v>
      </c>
      <c r="Q37" s="11">
        <f t="shared" si="1"/>
        <v>200</v>
      </c>
      <c r="R37" s="11">
        <f t="shared" si="2"/>
        <v>200</v>
      </c>
    </row>
    <row r="38" ht="22.5" customHeight="1">
      <c r="A38" s="4">
        <v>45965.55325196759</v>
      </c>
      <c r="B38" s="6" t="s">
        <v>383</v>
      </c>
      <c r="C38" s="6" t="s">
        <v>269</v>
      </c>
      <c r="D38" s="6" t="s">
        <v>384</v>
      </c>
      <c r="E38" s="6" t="s">
        <v>385</v>
      </c>
      <c r="F38" s="6" t="s">
        <v>386</v>
      </c>
      <c r="G38" s="21" t="s">
        <v>387</v>
      </c>
      <c r="H38" s="14" t="s">
        <v>388</v>
      </c>
      <c r="I38" s="9" t="s">
        <v>389</v>
      </c>
      <c r="J38" s="6" t="s">
        <v>276</v>
      </c>
      <c r="K38" s="6" t="s">
        <v>198</v>
      </c>
      <c r="L38" s="5" t="s">
        <v>390</v>
      </c>
      <c r="M38" s="6" t="s">
        <v>187</v>
      </c>
      <c r="O38" s="6" t="s">
        <v>391</v>
      </c>
      <c r="P38" s="6" t="s">
        <v>392</v>
      </c>
      <c r="Q38" s="11">
        <f t="shared" si="1"/>
        <v>200</v>
      </c>
      <c r="R38" s="11">
        <f t="shared" si="2"/>
        <v>200</v>
      </c>
    </row>
    <row r="39" ht="22.5" customHeight="1">
      <c r="A39" s="4">
        <v>45968.15562892361</v>
      </c>
      <c r="B39" s="6" t="s">
        <v>393</v>
      </c>
      <c r="C39" s="6" t="s">
        <v>269</v>
      </c>
      <c r="D39" s="6" t="s">
        <v>394</v>
      </c>
      <c r="E39" s="6" t="s">
        <v>395</v>
      </c>
      <c r="F39" s="6" t="s">
        <v>396</v>
      </c>
      <c r="G39" s="9" t="s">
        <v>397</v>
      </c>
      <c r="H39" s="9" t="s">
        <v>398</v>
      </c>
      <c r="I39" s="9" t="s">
        <v>399</v>
      </c>
      <c r="J39" s="6" t="s">
        <v>276</v>
      </c>
      <c r="K39" s="6" t="s">
        <v>198</v>
      </c>
      <c r="L39" s="5" t="s">
        <v>400</v>
      </c>
      <c r="M39" s="6" t="s">
        <v>38</v>
      </c>
      <c r="O39" s="6" t="s">
        <v>401</v>
      </c>
      <c r="P39" s="6" t="s">
        <v>402</v>
      </c>
      <c r="Q39" s="11">
        <f t="shared" si="1"/>
        <v>200</v>
      </c>
      <c r="R39" s="11">
        <f t="shared" si="2"/>
        <v>200</v>
      </c>
    </row>
    <row r="40" ht="22.5" customHeight="1">
      <c r="A40" s="4">
        <v>45961.95201907407</v>
      </c>
      <c r="B40" s="6" t="s">
        <v>308</v>
      </c>
      <c r="C40" s="6" t="s">
        <v>269</v>
      </c>
      <c r="D40" s="7" t="s">
        <v>403</v>
      </c>
      <c r="E40" s="6" t="s">
        <v>404</v>
      </c>
      <c r="F40" s="7" t="s">
        <v>405</v>
      </c>
      <c r="G40" s="9" t="s">
        <v>406</v>
      </c>
      <c r="H40" s="9" t="s">
        <v>407</v>
      </c>
      <c r="I40" s="14" t="s">
        <v>408</v>
      </c>
      <c r="J40" s="7" t="s">
        <v>276</v>
      </c>
      <c r="K40" s="6" t="s">
        <v>198</v>
      </c>
      <c r="L40" s="6" t="s">
        <v>409</v>
      </c>
      <c r="M40" s="6" t="s">
        <v>38</v>
      </c>
      <c r="O40" s="6" t="s">
        <v>410</v>
      </c>
      <c r="P40" s="6" t="s">
        <v>411</v>
      </c>
      <c r="Q40" s="11">
        <f t="shared" si="1"/>
        <v>200</v>
      </c>
      <c r="R40" s="11">
        <f t="shared" si="2"/>
        <v>200</v>
      </c>
    </row>
    <row r="41" ht="22.5" customHeight="1">
      <c r="A41" s="4">
        <v>45966.15542136574</v>
      </c>
      <c r="B41" s="6" t="s">
        <v>412</v>
      </c>
      <c r="C41" s="6" t="s">
        <v>269</v>
      </c>
      <c r="D41" s="6" t="s">
        <v>413</v>
      </c>
      <c r="E41" s="6" t="s">
        <v>414</v>
      </c>
      <c r="F41" s="6" t="s">
        <v>415</v>
      </c>
      <c r="G41" s="9" t="s">
        <v>416</v>
      </c>
      <c r="H41" s="9" t="s">
        <v>417</v>
      </c>
      <c r="I41" s="13" t="s">
        <v>416</v>
      </c>
      <c r="J41" s="6" t="s">
        <v>276</v>
      </c>
      <c r="K41" s="6" t="s">
        <v>198</v>
      </c>
      <c r="L41" s="5" t="s">
        <v>418</v>
      </c>
      <c r="M41" s="6" t="s">
        <v>38</v>
      </c>
      <c r="O41" s="6" t="s">
        <v>419</v>
      </c>
      <c r="P41" s="6" t="s">
        <v>420</v>
      </c>
      <c r="Q41" s="11">
        <f t="shared" si="1"/>
        <v>200</v>
      </c>
      <c r="R41" s="11">
        <f t="shared" si="2"/>
        <v>200</v>
      </c>
    </row>
    <row r="42" ht="22.5" customHeight="1">
      <c r="A42" s="4">
        <v>45962.75772594908</v>
      </c>
      <c r="B42" s="5"/>
      <c r="C42" s="6" t="s">
        <v>269</v>
      </c>
      <c r="D42" s="7" t="s">
        <v>421</v>
      </c>
      <c r="E42" s="6" t="s">
        <v>422</v>
      </c>
      <c r="F42" s="7" t="s">
        <v>423</v>
      </c>
      <c r="G42" s="9" t="s">
        <v>424</v>
      </c>
      <c r="H42" s="9" t="s">
        <v>425</v>
      </c>
      <c r="I42" s="9" t="s">
        <v>426</v>
      </c>
      <c r="J42" s="7" t="s">
        <v>276</v>
      </c>
      <c r="K42" s="6" t="s">
        <v>287</v>
      </c>
      <c r="L42" s="5" t="s">
        <v>427</v>
      </c>
      <c r="M42" s="6" t="s">
        <v>38</v>
      </c>
      <c r="O42" s="6" t="s">
        <v>428</v>
      </c>
      <c r="P42" s="6" t="s">
        <v>429</v>
      </c>
      <c r="Q42" s="11">
        <f t="shared" si="1"/>
        <v>403</v>
      </c>
      <c r="R42" s="11">
        <f t="shared" si="2"/>
        <v>200</v>
      </c>
    </row>
    <row r="43" ht="22.5" customHeight="1">
      <c r="A43" s="4">
        <v>45966.45460355324</v>
      </c>
      <c r="B43" s="6" t="s">
        <v>430</v>
      </c>
      <c r="C43" s="6" t="s">
        <v>269</v>
      </c>
      <c r="D43" s="6" t="s">
        <v>431</v>
      </c>
      <c r="E43" s="6" t="s">
        <v>432</v>
      </c>
      <c r="F43" s="6" t="s">
        <v>433</v>
      </c>
      <c r="G43" s="9" t="s">
        <v>434</v>
      </c>
      <c r="H43" s="9" t="s">
        <v>435</v>
      </c>
      <c r="I43" s="9" t="s">
        <v>436</v>
      </c>
      <c r="J43" s="6" t="s">
        <v>286</v>
      </c>
      <c r="K43" s="6" t="s">
        <v>198</v>
      </c>
      <c r="L43" s="5" t="s">
        <v>437</v>
      </c>
      <c r="M43" s="6" t="s">
        <v>225</v>
      </c>
      <c r="O43" s="6" t="s">
        <v>438</v>
      </c>
      <c r="P43" s="6" t="s">
        <v>439</v>
      </c>
      <c r="Q43" s="11">
        <f t="shared" si="1"/>
        <v>200</v>
      </c>
      <c r="R43" s="11">
        <f t="shared" si="2"/>
        <v>200</v>
      </c>
    </row>
    <row r="44" ht="22.5" customHeight="1">
      <c r="A44" s="4">
        <v>45964.89335268519</v>
      </c>
      <c r="B44" s="5"/>
      <c r="C44" s="6" t="s">
        <v>269</v>
      </c>
      <c r="D44" s="6" t="s">
        <v>440</v>
      </c>
      <c r="E44" s="6" t="s">
        <v>441</v>
      </c>
      <c r="F44" s="6" t="s">
        <v>442</v>
      </c>
      <c r="G44" s="9" t="s">
        <v>443</v>
      </c>
      <c r="H44" s="9" t="s">
        <v>444</v>
      </c>
      <c r="I44" s="14" t="s">
        <v>445</v>
      </c>
      <c r="J44" s="6" t="s">
        <v>286</v>
      </c>
      <c r="K44" s="6" t="s">
        <v>198</v>
      </c>
      <c r="L44" s="5" t="s">
        <v>446</v>
      </c>
      <c r="M44" s="6" t="s">
        <v>447</v>
      </c>
      <c r="O44" s="6" t="s">
        <v>448</v>
      </c>
      <c r="P44" s="6" t="s">
        <v>449</v>
      </c>
      <c r="Q44" s="11">
        <f t="shared" si="1"/>
        <v>200</v>
      </c>
      <c r="R44" s="11">
        <f t="shared" si="2"/>
        <v>200</v>
      </c>
    </row>
    <row r="45" ht="22.5" customHeight="1">
      <c r="A45" s="4">
        <v>46031.77308885417</v>
      </c>
      <c r="B45" s="6" t="s">
        <v>80</v>
      </c>
      <c r="C45" s="6" t="s">
        <v>269</v>
      </c>
      <c r="D45" s="6" t="s">
        <v>450</v>
      </c>
      <c r="E45" s="6" t="s">
        <v>451</v>
      </c>
      <c r="F45" s="6" t="s">
        <v>452</v>
      </c>
      <c r="G45" s="9" t="s">
        <v>453</v>
      </c>
      <c r="H45" s="9" t="s">
        <v>454</v>
      </c>
      <c r="I45" s="9" t="s">
        <v>455</v>
      </c>
      <c r="J45" s="6" t="s">
        <v>286</v>
      </c>
      <c r="K45" s="6" t="s">
        <v>198</v>
      </c>
      <c r="L45" s="5" t="s">
        <v>456</v>
      </c>
      <c r="M45" s="6" t="s">
        <v>225</v>
      </c>
      <c r="O45" s="6" t="s">
        <v>457</v>
      </c>
      <c r="P45" s="6" t="s">
        <v>458</v>
      </c>
      <c r="Q45" s="11">
        <f t="shared" si="1"/>
        <v>200</v>
      </c>
      <c r="R45" s="11">
        <f t="shared" si="2"/>
        <v>200</v>
      </c>
    </row>
    <row r="46" ht="22.5" customHeight="1">
      <c r="A46" s="4">
        <v>45962.76769828703</v>
      </c>
      <c r="B46" s="5"/>
      <c r="C46" s="6" t="s">
        <v>269</v>
      </c>
      <c r="D46" s="7" t="s">
        <v>459</v>
      </c>
      <c r="E46" s="6" t="s">
        <v>460</v>
      </c>
      <c r="F46" s="7" t="s">
        <v>461</v>
      </c>
      <c r="G46" s="9" t="s">
        <v>462</v>
      </c>
      <c r="H46" s="9" t="s">
        <v>463</v>
      </c>
      <c r="I46" s="14" t="s">
        <v>464</v>
      </c>
      <c r="J46" s="7" t="s">
        <v>276</v>
      </c>
      <c r="K46" s="6" t="s">
        <v>287</v>
      </c>
      <c r="L46" s="5" t="s">
        <v>465</v>
      </c>
      <c r="M46" s="6" t="s">
        <v>466</v>
      </c>
      <c r="O46" s="6" t="s">
        <v>467</v>
      </c>
      <c r="P46" s="6" t="s">
        <v>468</v>
      </c>
      <c r="Q46" s="11">
        <f t="shared" si="1"/>
        <v>200</v>
      </c>
      <c r="R46" s="11">
        <f t="shared" si="2"/>
        <v>200</v>
      </c>
    </row>
    <row r="47" ht="22.5" customHeight="1">
      <c r="A47" s="4">
        <v>46031.782541354165</v>
      </c>
      <c r="B47" s="6" t="s">
        <v>80</v>
      </c>
      <c r="C47" s="6" t="s">
        <v>269</v>
      </c>
      <c r="D47" s="6" t="s">
        <v>469</v>
      </c>
      <c r="E47" s="6" t="s">
        <v>470</v>
      </c>
      <c r="F47" s="6" t="s">
        <v>471</v>
      </c>
      <c r="G47" s="9" t="s">
        <v>472</v>
      </c>
      <c r="H47" s="9" t="s">
        <v>473</v>
      </c>
      <c r="I47" s="9" t="s">
        <v>474</v>
      </c>
      <c r="J47" s="6" t="s">
        <v>475</v>
      </c>
      <c r="K47" s="6" t="s">
        <v>198</v>
      </c>
      <c r="L47" s="5" t="s">
        <v>476</v>
      </c>
      <c r="M47" s="6" t="s">
        <v>477</v>
      </c>
      <c r="O47" s="14" t="s">
        <v>473</v>
      </c>
      <c r="P47" s="6" t="s">
        <v>478</v>
      </c>
      <c r="Q47" s="11">
        <f t="shared" si="1"/>
        <v>200</v>
      </c>
      <c r="R47" s="11">
        <f t="shared" si="2"/>
        <v>200</v>
      </c>
    </row>
    <row r="48" ht="22.5" customHeight="1">
      <c r="A48" s="4">
        <v>46031.78870642361</v>
      </c>
      <c r="B48" s="6" t="s">
        <v>80</v>
      </c>
      <c r="C48" s="6" t="s">
        <v>269</v>
      </c>
      <c r="D48" s="6" t="s">
        <v>479</v>
      </c>
      <c r="E48" s="6" t="s">
        <v>480</v>
      </c>
      <c r="F48" s="6" t="s">
        <v>481</v>
      </c>
      <c r="G48" s="9" t="s">
        <v>482</v>
      </c>
      <c r="H48" s="9" t="s">
        <v>483</v>
      </c>
      <c r="I48" s="9" t="s">
        <v>484</v>
      </c>
      <c r="J48" s="6" t="s">
        <v>485</v>
      </c>
      <c r="K48" s="6" t="s">
        <v>287</v>
      </c>
      <c r="L48" s="5" t="s">
        <v>486</v>
      </c>
      <c r="M48" s="6" t="s">
        <v>487</v>
      </c>
      <c r="O48" s="6" t="s">
        <v>488</v>
      </c>
      <c r="P48" s="6" t="s">
        <v>489</v>
      </c>
      <c r="Q48" s="11">
        <f t="shared" si="1"/>
        <v>200</v>
      </c>
      <c r="R48" s="11">
        <f t="shared" si="2"/>
        <v>200</v>
      </c>
    </row>
    <row r="49" ht="22.5" customHeight="1">
      <c r="A49" s="4">
        <v>45974.24592392361</v>
      </c>
      <c r="B49" s="6" t="s">
        <v>490</v>
      </c>
      <c r="C49" s="6" t="s">
        <v>269</v>
      </c>
      <c r="D49" s="6" t="s">
        <v>491</v>
      </c>
      <c r="E49" s="6" t="s">
        <v>492</v>
      </c>
      <c r="F49" s="6" t="s">
        <v>493</v>
      </c>
      <c r="G49" s="9" t="s">
        <v>494</v>
      </c>
      <c r="H49" s="9" t="s">
        <v>495</v>
      </c>
      <c r="I49" s="9" t="s">
        <v>496</v>
      </c>
      <c r="J49" s="6" t="s">
        <v>497</v>
      </c>
      <c r="K49" s="6" t="s">
        <v>198</v>
      </c>
      <c r="L49" s="5" t="s">
        <v>498</v>
      </c>
      <c r="M49" s="6" t="s">
        <v>487</v>
      </c>
      <c r="O49" s="6" t="s">
        <v>499</v>
      </c>
      <c r="P49" s="6" t="s">
        <v>500</v>
      </c>
      <c r="Q49" s="11">
        <f t="shared" si="1"/>
        <v>200</v>
      </c>
      <c r="R49" s="11">
        <f t="shared" si="2"/>
        <v>200</v>
      </c>
    </row>
    <row r="50" ht="22.5" customHeight="1">
      <c r="A50" s="4">
        <v>45974.26011832176</v>
      </c>
      <c r="B50" s="6" t="s">
        <v>490</v>
      </c>
      <c r="C50" s="6" t="s">
        <v>269</v>
      </c>
      <c r="D50" s="6" t="s">
        <v>501</v>
      </c>
      <c r="E50" s="6" t="s">
        <v>502</v>
      </c>
      <c r="F50" s="6" t="s">
        <v>503</v>
      </c>
      <c r="G50" s="9" t="s">
        <v>504</v>
      </c>
      <c r="H50" s="9" t="s">
        <v>505</v>
      </c>
      <c r="I50" s="9" t="s">
        <v>506</v>
      </c>
      <c r="J50" s="6" t="s">
        <v>497</v>
      </c>
      <c r="K50" s="6" t="s">
        <v>198</v>
      </c>
      <c r="L50" s="5" t="s">
        <v>507</v>
      </c>
      <c r="M50" s="6" t="s">
        <v>487</v>
      </c>
      <c r="O50" s="6" t="s">
        <v>508</v>
      </c>
      <c r="P50" s="6" t="s">
        <v>509</v>
      </c>
      <c r="Q50" s="11">
        <f t="shared" si="1"/>
        <v>403</v>
      </c>
      <c r="R50" s="11">
        <f t="shared" si="2"/>
        <v>200</v>
      </c>
    </row>
    <row r="51" ht="22.5" customHeight="1">
      <c r="A51" s="4">
        <v>45965.79996599537</v>
      </c>
      <c r="B51" s="6" t="s">
        <v>80</v>
      </c>
      <c r="C51" s="6" t="s">
        <v>510</v>
      </c>
      <c r="D51" s="6" t="s">
        <v>511</v>
      </c>
      <c r="E51" s="6" t="s">
        <v>512</v>
      </c>
      <c r="F51" s="6" t="s">
        <v>513</v>
      </c>
      <c r="G51" s="9" t="s">
        <v>514</v>
      </c>
      <c r="H51" s="9" t="s">
        <v>515</v>
      </c>
      <c r="I51" s="9" t="s">
        <v>516</v>
      </c>
      <c r="J51" s="6" t="s">
        <v>276</v>
      </c>
      <c r="K51" s="6" t="s">
        <v>185</v>
      </c>
      <c r="L51" s="5" t="s">
        <v>517</v>
      </c>
      <c r="M51" s="6" t="s">
        <v>49</v>
      </c>
      <c r="O51" s="6" t="s">
        <v>518</v>
      </c>
      <c r="P51" s="6" t="s">
        <v>519</v>
      </c>
      <c r="Q51" s="11">
        <f t="shared" si="1"/>
        <v>200</v>
      </c>
      <c r="R51" s="11">
        <f t="shared" si="2"/>
        <v>200</v>
      </c>
    </row>
    <row r="52" ht="22.5" customHeight="1">
      <c r="A52" s="4">
        <v>45962.210738877315</v>
      </c>
      <c r="B52" s="5"/>
      <c r="C52" s="6" t="s">
        <v>510</v>
      </c>
      <c r="D52" s="7" t="s">
        <v>520</v>
      </c>
      <c r="E52" s="6" t="s">
        <v>521</v>
      </c>
      <c r="F52" s="7" t="s">
        <v>522</v>
      </c>
      <c r="G52" s="9" t="s">
        <v>523</v>
      </c>
      <c r="H52" s="9" t="s">
        <v>524</v>
      </c>
      <c r="I52" s="14" t="s">
        <v>525</v>
      </c>
      <c r="J52" s="7" t="s">
        <v>276</v>
      </c>
      <c r="K52" s="6" t="s">
        <v>185</v>
      </c>
      <c r="L52" s="22" t="s">
        <v>526</v>
      </c>
      <c r="M52" s="6" t="s">
        <v>49</v>
      </c>
      <c r="O52" s="6" t="s">
        <v>527</v>
      </c>
      <c r="P52" s="6" t="s">
        <v>528</v>
      </c>
      <c r="Q52" s="11">
        <f t="shared" si="1"/>
        <v>403</v>
      </c>
      <c r="R52" s="11">
        <f t="shared" si="2"/>
        <v>200</v>
      </c>
    </row>
    <row r="53" ht="22.5" customHeight="1">
      <c r="A53" s="4">
        <v>45964.924418888884</v>
      </c>
      <c r="B53" s="6" t="s">
        <v>529</v>
      </c>
      <c r="C53" s="6" t="s">
        <v>510</v>
      </c>
      <c r="D53" s="6" t="s">
        <v>530</v>
      </c>
      <c r="E53" s="6" t="s">
        <v>531</v>
      </c>
      <c r="F53" s="6" t="s">
        <v>532</v>
      </c>
      <c r="G53" s="9" t="s">
        <v>533</v>
      </c>
      <c r="H53" s="9" t="s">
        <v>534</v>
      </c>
      <c r="I53" s="9" t="s">
        <v>535</v>
      </c>
      <c r="J53" s="6" t="s">
        <v>276</v>
      </c>
      <c r="K53" s="6" t="s">
        <v>287</v>
      </c>
      <c r="L53" s="5" t="s">
        <v>277</v>
      </c>
      <c r="M53" s="6" t="s">
        <v>187</v>
      </c>
      <c r="O53" s="6" t="s">
        <v>536</v>
      </c>
      <c r="P53" s="6" t="s">
        <v>537</v>
      </c>
      <c r="Q53" s="11">
        <f t="shared" si="1"/>
        <v>403</v>
      </c>
      <c r="R53" s="11">
        <f t="shared" si="2"/>
        <v>200</v>
      </c>
    </row>
    <row r="54" ht="22.5" customHeight="1">
      <c r="A54" s="4">
        <v>45964.928267361116</v>
      </c>
      <c r="B54" s="6" t="s">
        <v>538</v>
      </c>
      <c r="C54" s="6" t="s">
        <v>510</v>
      </c>
      <c r="D54" s="6" t="s">
        <v>539</v>
      </c>
      <c r="E54" s="6" t="s">
        <v>540</v>
      </c>
      <c r="F54" s="6" t="s">
        <v>541</v>
      </c>
      <c r="G54" s="9" t="s">
        <v>542</v>
      </c>
      <c r="H54" s="9" t="s">
        <v>534</v>
      </c>
      <c r="I54" s="9" t="s">
        <v>543</v>
      </c>
      <c r="J54" s="6" t="s">
        <v>276</v>
      </c>
      <c r="K54" s="6" t="s">
        <v>198</v>
      </c>
      <c r="L54" s="5" t="s">
        <v>544</v>
      </c>
      <c r="M54" s="6" t="s">
        <v>187</v>
      </c>
      <c r="O54" s="6" t="s">
        <v>545</v>
      </c>
      <c r="P54" s="6" t="s">
        <v>546</v>
      </c>
      <c r="Q54" s="11">
        <f t="shared" si="1"/>
        <v>403</v>
      </c>
      <c r="R54" s="11">
        <f t="shared" si="2"/>
        <v>200</v>
      </c>
    </row>
    <row r="55" ht="22.5" customHeight="1">
      <c r="A55" s="4">
        <v>45968.79993300926</v>
      </c>
      <c r="B55" s="6" t="s">
        <v>113</v>
      </c>
      <c r="C55" s="6" t="s">
        <v>510</v>
      </c>
      <c r="D55" s="6" t="s">
        <v>547</v>
      </c>
      <c r="E55" s="6" t="s">
        <v>548</v>
      </c>
      <c r="F55" s="6" t="s">
        <v>549</v>
      </c>
      <c r="G55" s="9" t="s">
        <v>550</v>
      </c>
      <c r="H55" s="9" t="s">
        <v>551</v>
      </c>
      <c r="I55" s="9" t="s">
        <v>552</v>
      </c>
      <c r="J55" s="6" t="s">
        <v>276</v>
      </c>
      <c r="K55" s="6" t="s">
        <v>287</v>
      </c>
      <c r="L55" s="5" t="s">
        <v>37</v>
      </c>
      <c r="M55" s="6" t="s">
        <v>49</v>
      </c>
      <c r="O55" s="6" t="s">
        <v>553</v>
      </c>
      <c r="P55" s="6" t="s">
        <v>554</v>
      </c>
      <c r="Q55" s="11">
        <f t="shared" si="1"/>
        <v>200</v>
      </c>
      <c r="R55" s="11">
        <f t="shared" si="2"/>
        <v>200</v>
      </c>
    </row>
    <row r="56" ht="22.5" customHeight="1">
      <c r="A56" s="4">
        <v>45968.80309158565</v>
      </c>
      <c r="B56" s="6" t="s">
        <v>113</v>
      </c>
      <c r="C56" s="6" t="s">
        <v>510</v>
      </c>
      <c r="D56" s="6" t="s">
        <v>555</v>
      </c>
      <c r="E56" s="6" t="s">
        <v>556</v>
      </c>
      <c r="F56" s="6" t="s">
        <v>557</v>
      </c>
      <c r="G56" s="9" t="s">
        <v>558</v>
      </c>
      <c r="H56" s="9" t="s">
        <v>559</v>
      </c>
      <c r="I56" s="9" t="s">
        <v>560</v>
      </c>
      <c r="J56" s="6" t="s">
        <v>276</v>
      </c>
      <c r="K56" s="6" t="s">
        <v>198</v>
      </c>
      <c r="L56" s="5" t="s">
        <v>561</v>
      </c>
      <c r="M56" s="6" t="s">
        <v>49</v>
      </c>
      <c r="O56" s="6" t="s">
        <v>562</v>
      </c>
      <c r="P56" s="6" t="s">
        <v>563</v>
      </c>
      <c r="Q56" s="11">
        <f t="shared" si="1"/>
        <v>200</v>
      </c>
      <c r="R56" s="11">
        <f t="shared" si="2"/>
        <v>200</v>
      </c>
    </row>
    <row r="57" ht="22.5" customHeight="1">
      <c r="A57" s="4">
        <v>45962.780607939814</v>
      </c>
      <c r="B57" s="5"/>
      <c r="C57" s="6" t="s">
        <v>510</v>
      </c>
      <c r="D57" s="7" t="s">
        <v>564</v>
      </c>
      <c r="E57" s="6" t="s">
        <v>565</v>
      </c>
      <c r="F57" s="7" t="s">
        <v>566</v>
      </c>
      <c r="G57" s="9" t="s">
        <v>567</v>
      </c>
      <c r="H57" s="9" t="s">
        <v>568</v>
      </c>
      <c r="I57" s="14" t="s">
        <v>569</v>
      </c>
      <c r="J57" s="7" t="s">
        <v>276</v>
      </c>
      <c r="K57" s="6" t="s">
        <v>185</v>
      </c>
      <c r="L57" s="5" t="s">
        <v>570</v>
      </c>
      <c r="M57" s="6" t="s">
        <v>49</v>
      </c>
      <c r="O57" s="6" t="s">
        <v>571</v>
      </c>
      <c r="P57" s="6" t="s">
        <v>572</v>
      </c>
      <c r="Q57" s="11">
        <f t="shared" si="1"/>
        <v>403</v>
      </c>
      <c r="R57" s="11">
        <f t="shared" si="2"/>
        <v>200</v>
      </c>
    </row>
    <row r="58" ht="22.5" customHeight="1">
      <c r="A58" s="4">
        <v>45971.492682083335</v>
      </c>
      <c r="B58" s="6" t="s">
        <v>573</v>
      </c>
      <c r="C58" s="6" t="s">
        <v>510</v>
      </c>
      <c r="D58" s="6" t="s">
        <v>574</v>
      </c>
      <c r="E58" s="6" t="s">
        <v>575</v>
      </c>
      <c r="F58" s="6" t="s">
        <v>576</v>
      </c>
      <c r="G58" s="9" t="s">
        <v>577</v>
      </c>
      <c r="H58" s="9" t="s">
        <v>578</v>
      </c>
      <c r="I58" s="9" t="s">
        <v>579</v>
      </c>
      <c r="J58" s="6" t="s">
        <v>276</v>
      </c>
      <c r="K58" s="6" t="s">
        <v>580</v>
      </c>
      <c r="L58" s="5" t="s">
        <v>581</v>
      </c>
      <c r="M58" s="6" t="s">
        <v>49</v>
      </c>
      <c r="O58" s="6" t="s">
        <v>582</v>
      </c>
      <c r="P58" s="6" t="s">
        <v>583</v>
      </c>
      <c r="Q58" s="11">
        <f t="shared" si="1"/>
        <v>200</v>
      </c>
      <c r="R58" s="11">
        <f t="shared" si="2"/>
        <v>200</v>
      </c>
    </row>
    <row r="59" ht="22.5" customHeight="1">
      <c r="A59" s="4">
        <v>45962.98225526621</v>
      </c>
      <c r="B59" s="5"/>
      <c r="C59" s="6" t="s">
        <v>510</v>
      </c>
      <c r="D59" s="6" t="s">
        <v>584</v>
      </c>
      <c r="E59" s="6" t="s">
        <v>585</v>
      </c>
      <c r="F59" s="7" t="s">
        <v>586</v>
      </c>
      <c r="G59" s="9" t="s">
        <v>587</v>
      </c>
      <c r="H59" s="9" t="s">
        <v>588</v>
      </c>
      <c r="I59" s="14" t="s">
        <v>589</v>
      </c>
      <c r="J59" s="6" t="s">
        <v>276</v>
      </c>
      <c r="K59" s="6" t="s">
        <v>185</v>
      </c>
      <c r="L59" s="5" t="s">
        <v>590</v>
      </c>
      <c r="M59" s="6" t="s">
        <v>49</v>
      </c>
      <c r="O59" s="6" t="s">
        <v>591</v>
      </c>
      <c r="P59" s="6" t="s">
        <v>592</v>
      </c>
      <c r="Q59" s="11">
        <f t="shared" si="1"/>
        <v>200</v>
      </c>
      <c r="R59" s="11">
        <f t="shared" si="2"/>
        <v>200</v>
      </c>
    </row>
    <row r="60" ht="22.5" customHeight="1">
      <c r="A60" s="4">
        <v>45971.48571835648</v>
      </c>
      <c r="B60" s="6" t="s">
        <v>573</v>
      </c>
      <c r="C60" s="6" t="s">
        <v>510</v>
      </c>
      <c r="D60" s="6" t="s">
        <v>593</v>
      </c>
      <c r="E60" s="6" t="s">
        <v>594</v>
      </c>
      <c r="F60" s="6" t="s">
        <v>595</v>
      </c>
      <c r="G60" s="9" t="s">
        <v>596</v>
      </c>
      <c r="H60" s="9" t="s">
        <v>597</v>
      </c>
      <c r="I60" s="9" t="s">
        <v>598</v>
      </c>
      <c r="J60" s="6" t="s">
        <v>276</v>
      </c>
      <c r="K60" s="6" t="s">
        <v>580</v>
      </c>
      <c r="L60" s="5" t="s">
        <v>599</v>
      </c>
      <c r="M60" s="6" t="s">
        <v>49</v>
      </c>
      <c r="O60" s="6" t="s">
        <v>600</v>
      </c>
      <c r="P60" s="6" t="s">
        <v>601</v>
      </c>
      <c r="Q60" s="11">
        <f t="shared" si="1"/>
        <v>403</v>
      </c>
      <c r="R60" s="11">
        <f t="shared" si="2"/>
        <v>200</v>
      </c>
    </row>
    <row r="61" ht="22.5" customHeight="1">
      <c r="A61" s="4">
        <v>45964.855968159725</v>
      </c>
      <c r="B61" s="5"/>
      <c r="C61" s="6" t="s">
        <v>510</v>
      </c>
      <c r="D61" s="6" t="s">
        <v>602</v>
      </c>
      <c r="E61" s="6" t="s">
        <v>603</v>
      </c>
      <c r="F61" s="6" t="s">
        <v>604</v>
      </c>
      <c r="G61" s="9" t="s">
        <v>605</v>
      </c>
      <c r="H61" s="9" t="s">
        <v>606</v>
      </c>
      <c r="I61" s="9" t="s">
        <v>607</v>
      </c>
      <c r="J61" s="7" t="s">
        <v>276</v>
      </c>
      <c r="K61" s="6" t="s">
        <v>60</v>
      </c>
      <c r="L61" s="5" t="s">
        <v>608</v>
      </c>
      <c r="M61" s="6" t="s">
        <v>609</v>
      </c>
      <c r="O61" s="6" t="s">
        <v>610</v>
      </c>
      <c r="P61" s="6" t="s">
        <v>611</v>
      </c>
      <c r="Q61" s="11">
        <f t="shared" si="1"/>
        <v>200</v>
      </c>
      <c r="R61" s="11">
        <f t="shared" si="2"/>
        <v>200</v>
      </c>
    </row>
    <row r="62" ht="22.5" customHeight="1">
      <c r="A62" s="4">
        <v>45964.861641446754</v>
      </c>
      <c r="B62" s="5"/>
      <c r="C62" s="6" t="s">
        <v>510</v>
      </c>
      <c r="D62" s="6" t="s">
        <v>612</v>
      </c>
      <c r="E62" s="6" t="s">
        <v>613</v>
      </c>
      <c r="F62" s="6" t="s">
        <v>614</v>
      </c>
      <c r="G62" s="9" t="s">
        <v>615</v>
      </c>
      <c r="H62" s="9" t="s">
        <v>616</v>
      </c>
      <c r="I62" s="9" t="s">
        <v>617</v>
      </c>
      <c r="J62" s="7" t="s">
        <v>276</v>
      </c>
      <c r="K62" s="6" t="s">
        <v>185</v>
      </c>
      <c r="L62" s="5" t="s">
        <v>37</v>
      </c>
      <c r="M62" s="6" t="s">
        <v>49</v>
      </c>
      <c r="O62" s="6" t="s">
        <v>618</v>
      </c>
      <c r="P62" s="6" t="s">
        <v>619</v>
      </c>
      <c r="Q62" s="11">
        <f t="shared" si="1"/>
        <v>200</v>
      </c>
      <c r="R62" s="11">
        <f t="shared" si="2"/>
        <v>200</v>
      </c>
    </row>
    <row r="63" ht="22.5" customHeight="1">
      <c r="A63" s="4">
        <v>45966.160705902774</v>
      </c>
      <c r="B63" s="6" t="s">
        <v>412</v>
      </c>
      <c r="C63" s="6" t="s">
        <v>510</v>
      </c>
      <c r="D63" s="6" t="s">
        <v>620</v>
      </c>
      <c r="E63" s="6" t="s">
        <v>621</v>
      </c>
      <c r="F63" s="6" t="s">
        <v>622</v>
      </c>
      <c r="G63" s="9" t="s">
        <v>623</v>
      </c>
      <c r="H63" s="9" t="s">
        <v>624</v>
      </c>
      <c r="I63" s="13" t="s">
        <v>623</v>
      </c>
      <c r="J63" s="6" t="s">
        <v>276</v>
      </c>
      <c r="K63" s="6" t="s">
        <v>198</v>
      </c>
      <c r="L63" s="5" t="s">
        <v>625</v>
      </c>
      <c r="M63" s="6" t="s">
        <v>49</v>
      </c>
      <c r="O63" s="6" t="s">
        <v>626</v>
      </c>
      <c r="P63" s="6" t="s">
        <v>627</v>
      </c>
      <c r="Q63" s="11">
        <f t="shared" si="1"/>
        <v>200</v>
      </c>
      <c r="R63" s="11">
        <f t="shared" si="2"/>
        <v>200</v>
      </c>
    </row>
    <row r="64" ht="22.5" customHeight="1">
      <c r="A64" s="4">
        <v>45962.673469733796</v>
      </c>
      <c r="B64" s="5"/>
      <c r="C64" s="6" t="s">
        <v>510</v>
      </c>
      <c r="D64" s="7" t="s">
        <v>628</v>
      </c>
      <c r="E64" s="6" t="s">
        <v>629</v>
      </c>
      <c r="F64" s="7" t="s">
        <v>630</v>
      </c>
      <c r="G64" s="9" t="s">
        <v>631</v>
      </c>
      <c r="H64" s="14" t="s">
        <v>632</v>
      </c>
      <c r="I64" s="14" t="s">
        <v>633</v>
      </c>
      <c r="J64" s="7" t="s">
        <v>276</v>
      </c>
      <c r="K64" s="6" t="s">
        <v>185</v>
      </c>
      <c r="L64" s="5" t="s">
        <v>277</v>
      </c>
      <c r="M64" s="6" t="s">
        <v>88</v>
      </c>
      <c r="O64" s="6" t="s">
        <v>634</v>
      </c>
      <c r="P64" s="6" t="s">
        <v>635</v>
      </c>
      <c r="Q64" s="11">
        <f t="shared" si="1"/>
        <v>200</v>
      </c>
      <c r="R64" s="11">
        <f t="shared" si="2"/>
        <v>200</v>
      </c>
    </row>
    <row r="65" ht="22.5" customHeight="1">
      <c r="A65" s="23">
        <v>45961.90485893519</v>
      </c>
      <c r="B65" s="11"/>
      <c r="C65" s="24" t="s">
        <v>636</v>
      </c>
      <c r="D65" s="25" t="s">
        <v>637</v>
      </c>
      <c r="E65" s="24" t="s">
        <v>638</v>
      </c>
      <c r="F65" s="25" t="s">
        <v>639</v>
      </c>
      <c r="G65" s="26" t="s">
        <v>640</v>
      </c>
      <c r="H65" s="26" t="s">
        <v>641</v>
      </c>
      <c r="I65" s="26" t="s">
        <v>642</v>
      </c>
      <c r="J65" s="7" t="s">
        <v>276</v>
      </c>
      <c r="K65" s="24" t="s">
        <v>198</v>
      </c>
      <c r="L65" s="24" t="s">
        <v>643</v>
      </c>
      <c r="M65" s="24" t="s">
        <v>38</v>
      </c>
      <c r="N65" s="27"/>
      <c r="O65" s="24" t="s">
        <v>644</v>
      </c>
      <c r="P65" s="24" t="s">
        <v>645</v>
      </c>
      <c r="Q65" s="11">
        <f t="shared" si="1"/>
        <v>200</v>
      </c>
      <c r="R65" s="11">
        <f t="shared" si="2"/>
        <v>200</v>
      </c>
    </row>
    <row r="66" ht="22.5" customHeight="1">
      <c r="A66" s="4">
        <v>46031.75467922454</v>
      </c>
      <c r="B66" s="6" t="s">
        <v>91</v>
      </c>
      <c r="C66" s="6" t="s">
        <v>636</v>
      </c>
      <c r="D66" s="6" t="s">
        <v>646</v>
      </c>
      <c r="E66" s="6" t="s">
        <v>647</v>
      </c>
      <c r="F66" s="6" t="s">
        <v>648</v>
      </c>
      <c r="G66" s="9" t="s">
        <v>649</v>
      </c>
      <c r="H66" s="9" t="s">
        <v>650</v>
      </c>
      <c r="I66" s="9" t="s">
        <v>651</v>
      </c>
      <c r="J66" s="6" t="s">
        <v>276</v>
      </c>
      <c r="K66" s="6" t="s">
        <v>198</v>
      </c>
      <c r="L66" s="5" t="s">
        <v>652</v>
      </c>
      <c r="M66" s="6" t="s">
        <v>653</v>
      </c>
      <c r="O66" s="6" t="s">
        <v>654</v>
      </c>
      <c r="P66" s="6" t="s">
        <v>655</v>
      </c>
      <c r="Q66" s="11">
        <f t="shared" si="1"/>
        <v>403</v>
      </c>
      <c r="R66" s="11">
        <f t="shared" si="2"/>
        <v>200</v>
      </c>
    </row>
    <row r="67" ht="22.5" customHeight="1">
      <c r="A67" s="4">
        <v>45986.41955131944</v>
      </c>
      <c r="B67" s="6" t="s">
        <v>656</v>
      </c>
      <c r="C67" s="6" t="s">
        <v>636</v>
      </c>
      <c r="D67" s="6" t="s">
        <v>657</v>
      </c>
      <c r="E67" s="6" t="s">
        <v>658</v>
      </c>
      <c r="F67" s="6" t="s">
        <v>659</v>
      </c>
      <c r="G67" s="9" t="s">
        <v>660</v>
      </c>
      <c r="H67" s="9" t="s">
        <v>661</v>
      </c>
      <c r="I67" s="13" t="s">
        <v>662</v>
      </c>
      <c r="J67" s="6" t="s">
        <v>276</v>
      </c>
      <c r="K67" s="6" t="s">
        <v>198</v>
      </c>
      <c r="L67" s="5" t="s">
        <v>663</v>
      </c>
      <c r="M67" s="6" t="s">
        <v>77</v>
      </c>
      <c r="O67" s="6" t="s">
        <v>664</v>
      </c>
      <c r="P67" s="6" t="s">
        <v>665</v>
      </c>
      <c r="Q67" s="11">
        <f t="shared" si="1"/>
        <v>200</v>
      </c>
      <c r="R67" s="11">
        <f t="shared" si="2"/>
        <v>200</v>
      </c>
    </row>
    <row r="68" ht="22.5" customHeight="1">
      <c r="A68" s="4">
        <v>45969.82434802083</v>
      </c>
      <c r="B68" s="6" t="s">
        <v>80</v>
      </c>
      <c r="C68" s="6" t="s">
        <v>666</v>
      </c>
      <c r="D68" s="6" t="s">
        <v>667</v>
      </c>
      <c r="E68" s="6" t="s">
        <v>668</v>
      </c>
      <c r="F68" s="6" t="s">
        <v>669</v>
      </c>
      <c r="G68" s="9" t="s">
        <v>670</v>
      </c>
      <c r="H68" s="9" t="s">
        <v>671</v>
      </c>
      <c r="I68" s="9" t="s">
        <v>672</v>
      </c>
      <c r="K68" s="6" t="s">
        <v>673</v>
      </c>
      <c r="L68" s="5" t="s">
        <v>674</v>
      </c>
      <c r="M68" s="6" t="s">
        <v>38</v>
      </c>
      <c r="O68" s="6" t="s">
        <v>675</v>
      </c>
      <c r="P68" s="6" t="s">
        <v>676</v>
      </c>
      <c r="Q68" s="11">
        <f t="shared" si="1"/>
        <v>200</v>
      </c>
      <c r="R68" s="11">
        <f t="shared" si="2"/>
        <v>200</v>
      </c>
    </row>
    <row r="69" ht="22.5" customHeight="1">
      <c r="A69" s="4">
        <v>45964.74980144676</v>
      </c>
      <c r="B69" s="5"/>
      <c r="C69" s="6" t="s">
        <v>666</v>
      </c>
      <c r="D69" s="6" t="s">
        <v>677</v>
      </c>
      <c r="E69" s="6" t="s">
        <v>678</v>
      </c>
      <c r="F69" s="6" t="s">
        <v>679</v>
      </c>
      <c r="G69" s="9" t="s">
        <v>680</v>
      </c>
      <c r="H69" s="9" t="s">
        <v>681</v>
      </c>
      <c r="I69" s="9" t="s">
        <v>682</v>
      </c>
      <c r="J69" s="6" t="s">
        <v>683</v>
      </c>
      <c r="K69" s="6" t="s">
        <v>684</v>
      </c>
      <c r="L69" s="5" t="s">
        <v>685</v>
      </c>
      <c r="M69" s="6" t="s">
        <v>77</v>
      </c>
      <c r="O69" s="6" t="s">
        <v>686</v>
      </c>
      <c r="P69" s="6" t="s">
        <v>687</v>
      </c>
      <c r="Q69" s="11">
        <f t="shared" si="1"/>
        <v>200</v>
      </c>
      <c r="R69" s="11">
        <f t="shared" si="2"/>
        <v>200</v>
      </c>
    </row>
    <row r="70" ht="22.5" customHeight="1">
      <c r="A70" s="4">
        <v>45962.680467199076</v>
      </c>
      <c r="B70" s="5"/>
      <c r="C70" s="6" t="s">
        <v>666</v>
      </c>
      <c r="D70" s="7" t="s">
        <v>688</v>
      </c>
      <c r="E70" s="6" t="s">
        <v>689</v>
      </c>
      <c r="F70" s="7" t="s">
        <v>690</v>
      </c>
      <c r="G70" s="9" t="s">
        <v>691</v>
      </c>
      <c r="H70" s="14" t="s">
        <v>692</v>
      </c>
      <c r="I70" s="9" t="s">
        <v>693</v>
      </c>
      <c r="J70" s="7" t="s">
        <v>276</v>
      </c>
      <c r="K70" s="6" t="s">
        <v>694</v>
      </c>
      <c r="L70" s="5" t="s">
        <v>695</v>
      </c>
      <c r="M70" s="6" t="s">
        <v>38</v>
      </c>
      <c r="O70" s="6" t="s">
        <v>696</v>
      </c>
      <c r="P70" s="6" t="s">
        <v>697</v>
      </c>
      <c r="Q70" s="11">
        <f t="shared" si="1"/>
        <v>200</v>
      </c>
      <c r="R70" s="11">
        <f t="shared" si="2"/>
        <v>200</v>
      </c>
    </row>
    <row r="71" ht="22.5" customHeight="1">
      <c r="A71" s="4">
        <v>45962.690968483796</v>
      </c>
      <c r="B71" s="5"/>
      <c r="C71" s="6" t="s">
        <v>666</v>
      </c>
      <c r="D71" s="7" t="s">
        <v>698</v>
      </c>
      <c r="E71" s="6" t="s">
        <v>699</v>
      </c>
      <c r="F71" s="7" t="s">
        <v>700</v>
      </c>
      <c r="G71" s="19" t="s">
        <v>701</v>
      </c>
      <c r="H71" s="9" t="s">
        <v>702</v>
      </c>
      <c r="I71" s="9" t="s">
        <v>703</v>
      </c>
      <c r="J71" s="7" t="s">
        <v>276</v>
      </c>
      <c r="K71" s="6" t="s">
        <v>694</v>
      </c>
      <c r="L71" s="5" t="s">
        <v>704</v>
      </c>
      <c r="M71" s="6" t="s">
        <v>38</v>
      </c>
      <c r="O71" s="6" t="s">
        <v>705</v>
      </c>
      <c r="P71" s="6" t="s">
        <v>706</v>
      </c>
      <c r="Q71" s="11">
        <f t="shared" si="1"/>
        <v>403</v>
      </c>
      <c r="R71" s="11">
        <f t="shared" si="2"/>
        <v>200</v>
      </c>
    </row>
    <row r="72" ht="22.5" customHeight="1">
      <c r="A72" s="4">
        <v>45973.93876482639</v>
      </c>
      <c r="B72" s="6" t="s">
        <v>178</v>
      </c>
      <c r="C72" s="6" t="s">
        <v>666</v>
      </c>
      <c r="D72" s="6" t="s">
        <v>707</v>
      </c>
      <c r="E72" s="6" t="s">
        <v>708</v>
      </c>
      <c r="F72" s="6" t="s">
        <v>709</v>
      </c>
      <c r="G72" s="9" t="s">
        <v>710</v>
      </c>
      <c r="H72" s="9" t="s">
        <v>711</v>
      </c>
      <c r="I72" s="9" t="s">
        <v>712</v>
      </c>
      <c r="K72" s="6" t="s">
        <v>673</v>
      </c>
      <c r="L72" s="5" t="s">
        <v>713</v>
      </c>
      <c r="M72" s="6" t="s">
        <v>714</v>
      </c>
      <c r="O72" s="6" t="s">
        <v>715</v>
      </c>
      <c r="P72" s="6" t="s">
        <v>716</v>
      </c>
      <c r="Q72" s="11">
        <f t="shared" si="1"/>
        <v>200</v>
      </c>
      <c r="R72" s="11">
        <f t="shared" si="2"/>
        <v>200</v>
      </c>
    </row>
    <row r="73" ht="22.5" customHeight="1">
      <c r="A73" s="4">
        <v>45973.93876482639</v>
      </c>
      <c r="B73" s="6" t="s">
        <v>178</v>
      </c>
      <c r="C73" s="6" t="s">
        <v>666</v>
      </c>
      <c r="D73" s="6" t="s">
        <v>717</v>
      </c>
      <c r="E73" s="6" t="s">
        <v>718</v>
      </c>
      <c r="F73" s="6" t="s">
        <v>719</v>
      </c>
      <c r="G73" s="9" t="s">
        <v>720</v>
      </c>
      <c r="H73" s="9" t="s">
        <v>711</v>
      </c>
      <c r="I73" s="9" t="s">
        <v>721</v>
      </c>
      <c r="K73" s="6" t="s">
        <v>673</v>
      </c>
      <c r="L73" s="5" t="s">
        <v>713</v>
      </c>
      <c r="M73" s="6" t="s">
        <v>187</v>
      </c>
      <c r="O73" s="6" t="s">
        <v>715</v>
      </c>
      <c r="P73" s="6" t="s">
        <v>716</v>
      </c>
      <c r="Q73" s="11">
        <f t="shared" si="1"/>
        <v>200</v>
      </c>
      <c r="R73" s="11">
        <f t="shared" si="2"/>
        <v>200</v>
      </c>
    </row>
    <row r="74" ht="22.5" customHeight="1">
      <c r="A74" s="4">
        <v>45973.94144946759</v>
      </c>
      <c r="B74" s="6" t="s">
        <v>178</v>
      </c>
      <c r="C74" s="6" t="s">
        <v>666</v>
      </c>
      <c r="D74" s="6" t="s">
        <v>722</v>
      </c>
      <c r="E74" s="6" t="s">
        <v>723</v>
      </c>
      <c r="F74" s="6" t="s">
        <v>724</v>
      </c>
      <c r="G74" s="9" t="s">
        <v>725</v>
      </c>
      <c r="H74" s="14" t="s">
        <v>726</v>
      </c>
      <c r="I74" s="9" t="s">
        <v>725</v>
      </c>
      <c r="K74" s="6" t="s">
        <v>673</v>
      </c>
      <c r="L74" s="5" t="s">
        <v>727</v>
      </c>
      <c r="M74" s="6" t="s">
        <v>187</v>
      </c>
      <c r="O74" s="6" t="s">
        <v>728</v>
      </c>
      <c r="P74" s="6" t="s">
        <v>729</v>
      </c>
      <c r="Q74" s="11">
        <f t="shared" si="1"/>
        <v>200</v>
      </c>
      <c r="R74" s="11">
        <f t="shared" si="2"/>
        <v>200</v>
      </c>
    </row>
    <row r="75" ht="22.5" customHeight="1">
      <c r="A75" s="4">
        <v>45974.27357578704</v>
      </c>
      <c r="B75" s="6" t="s">
        <v>490</v>
      </c>
      <c r="C75" s="6" t="s">
        <v>666</v>
      </c>
      <c r="D75" s="6" t="s">
        <v>730</v>
      </c>
      <c r="E75" s="6" t="s">
        <v>731</v>
      </c>
      <c r="F75" s="6" t="s">
        <v>732</v>
      </c>
      <c r="G75" s="9" t="s">
        <v>733</v>
      </c>
      <c r="H75" s="14" t="s">
        <v>734</v>
      </c>
      <c r="I75" s="9" t="s">
        <v>735</v>
      </c>
      <c r="J75" s="6" t="s">
        <v>497</v>
      </c>
      <c r="K75" s="6" t="s">
        <v>198</v>
      </c>
      <c r="L75" s="5" t="s">
        <v>736</v>
      </c>
      <c r="M75" s="6" t="s">
        <v>487</v>
      </c>
      <c r="O75" s="6" t="s">
        <v>737</v>
      </c>
      <c r="P75" s="6" t="s">
        <v>738</v>
      </c>
      <c r="Q75" s="11">
        <f t="shared" si="1"/>
        <v>200</v>
      </c>
      <c r="R75" s="11">
        <f t="shared" si="2"/>
        <v>200</v>
      </c>
    </row>
    <row r="76" ht="22.5" customHeight="1">
      <c r="A76" s="4">
        <v>45974.267586875</v>
      </c>
      <c r="B76" s="6" t="s">
        <v>490</v>
      </c>
      <c r="C76" s="6" t="s">
        <v>666</v>
      </c>
      <c r="D76" s="6" t="s">
        <v>739</v>
      </c>
      <c r="E76" s="6" t="s">
        <v>740</v>
      </c>
      <c r="F76" s="6" t="s">
        <v>741</v>
      </c>
      <c r="G76" s="9" t="s">
        <v>742</v>
      </c>
      <c r="H76" s="19" t="s">
        <v>743</v>
      </c>
      <c r="I76" s="9" t="s">
        <v>744</v>
      </c>
      <c r="J76" s="6" t="s">
        <v>497</v>
      </c>
      <c r="K76" s="6" t="s">
        <v>198</v>
      </c>
      <c r="L76" s="5" t="s">
        <v>736</v>
      </c>
      <c r="M76" s="6" t="s">
        <v>487</v>
      </c>
      <c r="O76" s="6" t="s">
        <v>745</v>
      </c>
      <c r="P76" s="6" t="s">
        <v>746</v>
      </c>
      <c r="Q76" s="11">
        <f t="shared" si="1"/>
        <v>403</v>
      </c>
      <c r="R76" s="11">
        <f t="shared" si="2"/>
        <v>200</v>
      </c>
    </row>
    <row r="77" ht="22.5" customHeight="1">
      <c r="A77" s="4">
        <v>45973.79679445602</v>
      </c>
      <c r="B77" s="6" t="s">
        <v>747</v>
      </c>
      <c r="C77" s="6" t="s">
        <v>666</v>
      </c>
      <c r="D77" s="6" t="s">
        <v>748</v>
      </c>
      <c r="E77" s="6" t="s">
        <v>749</v>
      </c>
      <c r="F77" s="6" t="s">
        <v>750</v>
      </c>
      <c r="G77" s="9" t="s">
        <v>751</v>
      </c>
      <c r="H77" s="9" t="s">
        <v>752</v>
      </c>
      <c r="I77" s="9" t="s">
        <v>753</v>
      </c>
      <c r="J77" s="6" t="s">
        <v>754</v>
      </c>
      <c r="K77" s="6" t="s">
        <v>673</v>
      </c>
      <c r="L77" s="5" t="s">
        <v>755</v>
      </c>
      <c r="M77" s="6" t="s">
        <v>187</v>
      </c>
      <c r="O77" s="6" t="s">
        <v>756</v>
      </c>
      <c r="P77" s="6" t="s">
        <v>756</v>
      </c>
      <c r="Q77" s="11">
        <f t="shared" si="1"/>
        <v>403</v>
      </c>
      <c r="R77" s="11">
        <f t="shared" si="2"/>
        <v>200</v>
      </c>
    </row>
  </sheetData>
  <conditionalFormatting sqref="G2 I2:I24 I26:I77">
    <cfRule type="expression" dxfId="5" priority="1">
      <formula>P2=200</formula>
    </cfRule>
  </conditionalFormatting>
  <conditionalFormatting sqref="G2 I2:I24 I26:I77">
    <cfRule type="expression" dxfId="6" priority="2">
      <formula>P2=404</formula>
    </cfRule>
  </conditionalFormatting>
  <conditionalFormatting sqref="G2 I2:I24 I26:I77">
    <cfRule type="expression" dxfId="7" priority="3">
      <formula>OR(P2=302, P2=301)</formula>
    </cfRule>
  </conditionalFormatting>
  <conditionalFormatting sqref="G2:G24 G26:G121">
    <cfRule type="expression" dxfId="5" priority="4">
      <formula>Q2=200</formula>
    </cfRule>
  </conditionalFormatting>
  <conditionalFormatting sqref="G2:G24 G26:G121">
    <cfRule type="expression" dxfId="8" priority="5">
      <formula>Q2=403</formula>
    </cfRule>
  </conditionalFormatting>
  <conditionalFormatting sqref="G2:G24 G26:G121">
    <cfRule type="expression" dxfId="6" priority="6">
      <formula>Q2=404</formula>
    </cfRule>
  </conditionalFormatting>
  <conditionalFormatting sqref="G2:G24 G26:G121">
    <cfRule type="notContainsBlanks" dxfId="6" priority="7">
      <formula>LEN(TRIM(G2))&gt;0</formula>
    </cfRule>
  </conditionalFormatting>
  <hyperlinks>
    <hyperlink r:id="rId1" ref="E2"/>
    <hyperlink r:id="rId2" ref="G2"/>
    <hyperlink r:id="rId3" ref="H2"/>
    <hyperlink r:id="rId4" ref="I2"/>
    <hyperlink r:id="rId5" ref="G3"/>
    <hyperlink r:id="rId6" ref="H3"/>
    <hyperlink r:id="rId7" ref="I3"/>
    <hyperlink r:id="rId8" ref="G4"/>
    <hyperlink r:id="rId9" ref="H4"/>
    <hyperlink r:id="rId10" ref="I4"/>
    <hyperlink r:id="rId11" ref="H5"/>
    <hyperlink r:id="rId12" ref="I5"/>
    <hyperlink r:id="rId13" ref="G6"/>
    <hyperlink r:id="rId14" ref="H6"/>
    <hyperlink r:id="rId15" ref="I6"/>
    <hyperlink r:id="rId16" ref="G7"/>
    <hyperlink r:id="rId17" ref="H7"/>
    <hyperlink r:id="rId18" ref="I7"/>
    <hyperlink r:id="rId19" ref="G8"/>
    <hyperlink r:id="rId20" ref="H8"/>
    <hyperlink r:id="rId21" ref="I8"/>
    <hyperlink r:id="rId22" ref="G9"/>
    <hyperlink r:id="rId23" ref="H9"/>
    <hyperlink r:id="rId24" ref="I9"/>
    <hyperlink r:id="rId25" ref="G10"/>
    <hyperlink r:id="rId26" ref="H10"/>
    <hyperlink r:id="rId27" ref="I10"/>
    <hyperlink r:id="rId28" ref="G11"/>
    <hyperlink r:id="rId29" ref="H11"/>
    <hyperlink r:id="rId30" ref="I11"/>
    <hyperlink r:id="rId31" ref="G12"/>
    <hyperlink r:id="rId32" ref="H12"/>
    <hyperlink r:id="rId33" ref="I12"/>
    <hyperlink r:id="rId34" ref="G13"/>
    <hyperlink r:id="rId35" ref="H13"/>
    <hyperlink r:id="rId36" ref="I13"/>
    <hyperlink r:id="rId37" ref="G14"/>
    <hyperlink r:id="rId38" ref="H14"/>
    <hyperlink r:id="rId39" ref="I14"/>
    <hyperlink r:id="rId40" ref="G15"/>
    <hyperlink r:id="rId41" ref="H15"/>
    <hyperlink r:id="rId42" ref="I15"/>
    <hyperlink r:id="rId43" ref="G16"/>
    <hyperlink r:id="rId44" ref="H16"/>
    <hyperlink r:id="rId45" ref="I16"/>
    <hyperlink r:id="rId46" ref="G17"/>
    <hyperlink r:id="rId47" ref="H17"/>
    <hyperlink r:id="rId48" ref="I17"/>
    <hyperlink r:id="rId49" ref="G18"/>
    <hyperlink r:id="rId50" ref="H18"/>
    <hyperlink r:id="rId51" ref="I18"/>
    <hyperlink r:id="rId52" ref="G19"/>
    <hyperlink r:id="rId53" ref="H19"/>
    <hyperlink r:id="rId54" ref="I19"/>
    <hyperlink r:id="rId55" ref="G20"/>
    <hyperlink r:id="rId56" ref="H20"/>
    <hyperlink r:id="rId57" ref="I20"/>
    <hyperlink r:id="rId58" ref="G21"/>
    <hyperlink r:id="rId59" ref="H21"/>
    <hyperlink r:id="rId60" ref="I21"/>
    <hyperlink r:id="rId61" ref="G22"/>
    <hyperlink r:id="rId62" ref="H22"/>
    <hyperlink r:id="rId63" ref="I22"/>
    <hyperlink r:id="rId64" ref="G23"/>
    <hyperlink r:id="rId65" ref="H23"/>
    <hyperlink r:id="rId66" ref="I23"/>
    <hyperlink r:id="rId67" ref="G24"/>
    <hyperlink r:id="rId68" ref="H24"/>
    <hyperlink r:id="rId69" ref="I24"/>
    <hyperlink r:id="rId70" ref="G25"/>
    <hyperlink r:id="rId71" ref="H25"/>
    <hyperlink r:id="rId72" ref="I25"/>
    <hyperlink r:id="rId73" ref="G26"/>
    <hyperlink r:id="rId74" ref="H26"/>
    <hyperlink r:id="rId75" ref="I26"/>
    <hyperlink r:id="rId76" ref="G27"/>
    <hyperlink r:id="rId77" ref="H27"/>
    <hyperlink r:id="rId78" ref="I27"/>
    <hyperlink r:id="rId79" ref="G28"/>
    <hyperlink r:id="rId80" ref="H28"/>
    <hyperlink r:id="rId81" ref="I28"/>
    <hyperlink r:id="rId82" ref="G29"/>
    <hyperlink r:id="rId83" ref="H29"/>
    <hyperlink r:id="rId84" ref="I29"/>
    <hyperlink r:id="rId85" ref="G30"/>
    <hyperlink r:id="rId86" ref="H30"/>
    <hyperlink r:id="rId87" ref="I30"/>
    <hyperlink r:id="rId88" ref="G31"/>
    <hyperlink r:id="rId89" ref="H31"/>
    <hyperlink r:id="rId90" ref="I31"/>
    <hyperlink r:id="rId91" ref="G32"/>
    <hyperlink r:id="rId92" ref="H32"/>
    <hyperlink r:id="rId93" ref="I32"/>
    <hyperlink r:id="rId94" ref="G33"/>
    <hyperlink r:id="rId95" ref="H33"/>
    <hyperlink r:id="rId96" ref="I33"/>
    <hyperlink r:id="rId97" ref="G34"/>
    <hyperlink r:id="rId98" ref="H34"/>
    <hyperlink r:id="rId99" ref="I34"/>
    <hyperlink r:id="rId100" ref="G35"/>
    <hyperlink r:id="rId101" ref="H35"/>
    <hyperlink r:id="rId102" location="/metadata/a2f0891b-763a-49e9-af1b-78ed78b16982" ref="I35"/>
    <hyperlink r:id="rId103" ref="G36"/>
    <hyperlink r:id="rId104" ref="H36"/>
    <hyperlink r:id="rId105" ref="I36"/>
    <hyperlink r:id="rId106" ref="G37"/>
    <hyperlink r:id="rId107" ref="H37"/>
    <hyperlink r:id="rId108" ref="I37"/>
    <hyperlink r:id="rId109" ref="G38"/>
    <hyperlink r:id="rId110" ref="H38"/>
    <hyperlink r:id="rId111" ref="I38"/>
    <hyperlink r:id="rId112" ref="G39"/>
    <hyperlink r:id="rId113" ref="H39"/>
    <hyperlink r:id="rId114" ref="I39"/>
    <hyperlink r:id="rId115" ref="G40"/>
    <hyperlink r:id="rId116" ref="H40"/>
    <hyperlink r:id="rId117" ref="I40"/>
    <hyperlink r:id="rId118" ref="G41"/>
    <hyperlink r:id="rId119" ref="H41"/>
    <hyperlink r:id="rId120" ref="I41"/>
    <hyperlink r:id="rId121" ref="G42"/>
    <hyperlink r:id="rId122" ref="H42"/>
    <hyperlink r:id="rId123" ref="I42"/>
    <hyperlink r:id="rId124" ref="G43"/>
    <hyperlink r:id="rId125" ref="H43"/>
    <hyperlink r:id="rId126" ref="I43"/>
    <hyperlink r:id="rId127" ref="G44"/>
    <hyperlink r:id="rId128" ref="H44"/>
    <hyperlink r:id="rId129" ref="I44"/>
    <hyperlink r:id="rId130" ref="G45"/>
    <hyperlink r:id="rId131" ref="H45"/>
    <hyperlink r:id="rId132" ref="I45"/>
    <hyperlink r:id="rId133" ref="G46"/>
    <hyperlink r:id="rId134" ref="H46"/>
    <hyperlink r:id="rId135" ref="I46"/>
    <hyperlink r:id="rId136" ref="G47"/>
    <hyperlink r:id="rId137" ref="H47"/>
    <hyperlink r:id="rId138" ref="I47"/>
    <hyperlink r:id="rId139" ref="O47"/>
    <hyperlink r:id="rId140" ref="G48"/>
    <hyperlink r:id="rId141" ref="H48"/>
    <hyperlink r:id="rId142" ref="I48"/>
    <hyperlink r:id="rId143" ref="G49"/>
    <hyperlink r:id="rId144" ref="H49"/>
    <hyperlink r:id="rId145" ref="I49"/>
    <hyperlink r:id="rId146" ref="G50"/>
    <hyperlink r:id="rId147" ref="H50"/>
    <hyperlink r:id="rId148" ref="I50"/>
    <hyperlink r:id="rId149" ref="G51"/>
    <hyperlink r:id="rId150" ref="H51"/>
    <hyperlink r:id="rId151" ref="I51"/>
    <hyperlink r:id="rId152" ref="G52"/>
    <hyperlink r:id="rId153" ref="H52"/>
    <hyperlink r:id="rId154" ref="I52"/>
    <hyperlink r:id="rId155" ref="G53"/>
    <hyperlink r:id="rId156" ref="H53"/>
    <hyperlink r:id="rId157" ref="I53"/>
    <hyperlink r:id="rId158" ref="G54"/>
    <hyperlink r:id="rId159" ref="H54"/>
    <hyperlink r:id="rId160" ref="I54"/>
    <hyperlink r:id="rId161" ref="G55"/>
    <hyperlink r:id="rId162" ref="H55"/>
    <hyperlink r:id="rId163" ref="I55"/>
    <hyperlink r:id="rId164" ref="G56"/>
    <hyperlink r:id="rId165" ref="H56"/>
    <hyperlink r:id="rId166" ref="I56"/>
    <hyperlink r:id="rId167" ref="G57"/>
    <hyperlink r:id="rId168" ref="H57"/>
    <hyperlink r:id="rId169" ref="I57"/>
    <hyperlink r:id="rId170" ref="G58"/>
    <hyperlink r:id="rId171" ref="H58"/>
    <hyperlink r:id="rId172" ref="I58"/>
    <hyperlink r:id="rId173" ref="G59"/>
    <hyperlink r:id="rId174" ref="H59"/>
    <hyperlink r:id="rId175" ref="I59"/>
    <hyperlink r:id="rId176" ref="G60"/>
    <hyperlink r:id="rId177" ref="H60"/>
    <hyperlink r:id="rId178" ref="I60"/>
    <hyperlink r:id="rId179" ref="G61"/>
    <hyperlink r:id="rId180" ref="H61"/>
    <hyperlink r:id="rId181" ref="I61"/>
    <hyperlink r:id="rId182" ref="G62"/>
    <hyperlink r:id="rId183" ref="H62"/>
    <hyperlink r:id="rId184" ref="I62"/>
    <hyperlink r:id="rId185" ref="G63"/>
    <hyperlink r:id="rId186" ref="H63"/>
    <hyperlink r:id="rId187" ref="I63"/>
    <hyperlink r:id="rId188" ref="G64"/>
    <hyperlink r:id="rId189" ref="H64"/>
    <hyperlink r:id="rId190" ref="I64"/>
    <hyperlink r:id="rId191" ref="G65"/>
    <hyperlink r:id="rId192" ref="H65"/>
    <hyperlink r:id="rId193" ref="I65"/>
    <hyperlink r:id="rId194" ref="G66"/>
    <hyperlink r:id="rId195" ref="H66"/>
    <hyperlink r:id="rId196" ref="I66"/>
    <hyperlink r:id="rId197" ref="G67"/>
    <hyperlink r:id="rId198" ref="H67"/>
    <hyperlink r:id="rId199" ref="I67"/>
    <hyperlink r:id="rId200" ref="G68"/>
    <hyperlink r:id="rId201" ref="H68"/>
    <hyperlink r:id="rId202" ref="I68"/>
    <hyperlink r:id="rId203" ref="G69"/>
    <hyperlink r:id="rId204" ref="H69"/>
    <hyperlink r:id="rId205" ref="I69"/>
    <hyperlink r:id="rId206" ref="G70"/>
    <hyperlink r:id="rId207" ref="H70"/>
    <hyperlink r:id="rId208" ref="I70"/>
    <hyperlink r:id="rId209" ref="G71"/>
    <hyperlink r:id="rId210" ref="H71"/>
    <hyperlink r:id="rId211" ref="I71"/>
    <hyperlink r:id="rId212" ref="G72"/>
    <hyperlink r:id="rId213" ref="H72"/>
    <hyperlink r:id="rId214" ref="I72"/>
    <hyperlink r:id="rId215" ref="G73"/>
    <hyperlink r:id="rId216" ref="H73"/>
    <hyperlink r:id="rId217" ref="I73"/>
    <hyperlink r:id="rId218" ref="G74"/>
    <hyperlink r:id="rId219" ref="H74"/>
    <hyperlink r:id="rId220" ref="I74"/>
    <hyperlink r:id="rId221" ref="G75"/>
    <hyperlink r:id="rId222" ref="H75"/>
    <hyperlink r:id="rId223" ref="I75"/>
    <hyperlink r:id="rId224" ref="G76"/>
    <hyperlink r:id="rId225" ref="H76"/>
    <hyperlink r:id="rId226" ref="I76"/>
    <hyperlink r:id="rId227" ref="G77"/>
    <hyperlink r:id="rId228" ref="H77"/>
    <hyperlink r:id="rId229" ref="I77"/>
  </hyperlinks>
  <drawing r:id="rId230"/>
  <tableParts count="1">
    <tablePart r:id="rId23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3" width="17.25"/>
    <col customWidth="1" min="4" max="4" width="20.38"/>
    <col customWidth="1" min="5" max="5" width="20.5"/>
    <col customWidth="1" min="6" max="6" width="16.25"/>
    <col customWidth="1" min="7" max="7" width="14.88"/>
    <col customWidth="1" min="8" max="8" width="17.13"/>
    <col customWidth="1" min="9" max="9" width="19.75"/>
    <col customWidth="1" min="10" max="10" width="15.5"/>
    <col customWidth="1" min="11" max="11" width="15.38"/>
    <col customWidth="1" min="12" max="12" width="19.88"/>
    <col customWidth="1" min="13" max="13" width="14.88"/>
    <col customWidth="1" min="14" max="14" width="15.38"/>
    <col customWidth="1" min="15" max="15" width="19.25"/>
    <col customWidth="1" min="16" max="16" width="14.88"/>
    <col customWidth="1" min="17" max="17" width="15.38"/>
    <col customWidth="1" min="18" max="18" width="15.25"/>
    <col customWidth="1" min="19" max="19" width="20.38"/>
    <col customWidth="1" min="20" max="20" width="15.0"/>
    <col customWidth="1" min="21" max="21" width="14.38"/>
    <col customWidth="1" min="23" max="23" width="14.75"/>
  </cols>
  <sheetData>
    <row r="1">
      <c r="A1" s="28">
        <v>0.0</v>
      </c>
      <c r="B1" s="29" t="s">
        <v>2</v>
      </c>
      <c r="C1" s="29" t="s">
        <v>3</v>
      </c>
      <c r="D1" s="29" t="s">
        <v>5</v>
      </c>
      <c r="E1" s="29" t="s">
        <v>7</v>
      </c>
      <c r="F1" s="29" t="s">
        <v>757</v>
      </c>
      <c r="G1" s="29" t="s">
        <v>758</v>
      </c>
      <c r="H1" s="29" t="s">
        <v>12</v>
      </c>
      <c r="I1" s="29" t="s">
        <v>759</v>
      </c>
      <c r="J1" s="29" t="s">
        <v>10</v>
      </c>
      <c r="K1" s="29" t="s">
        <v>10</v>
      </c>
      <c r="L1" s="29" t="s">
        <v>760</v>
      </c>
      <c r="M1" s="29" t="s">
        <v>9</v>
      </c>
      <c r="N1" s="29" t="s">
        <v>9</v>
      </c>
      <c r="O1" s="29" t="s">
        <v>761</v>
      </c>
      <c r="P1" s="30" t="s">
        <v>11</v>
      </c>
      <c r="Q1" s="30" t="s">
        <v>11</v>
      </c>
      <c r="R1" s="29" t="s">
        <v>14</v>
      </c>
      <c r="S1" s="29" t="s">
        <v>5</v>
      </c>
      <c r="T1" s="30" t="s">
        <v>6</v>
      </c>
      <c r="U1" s="30" t="s">
        <v>8</v>
      </c>
      <c r="V1" s="29" t="s">
        <v>15</v>
      </c>
      <c r="W1" s="29" t="s">
        <v>15</v>
      </c>
      <c r="X1" s="29" t="s">
        <v>4</v>
      </c>
      <c r="Y1" s="29" t="s">
        <v>4</v>
      </c>
    </row>
    <row r="2">
      <c r="A2" s="31">
        <v>1.0</v>
      </c>
      <c r="B2" s="31" t="s">
        <v>762</v>
      </c>
      <c r="C2" s="31" t="s">
        <v>763</v>
      </c>
      <c r="D2" s="31" t="s">
        <v>764</v>
      </c>
      <c r="E2" s="31" t="s">
        <v>765</v>
      </c>
      <c r="F2" s="31" t="s">
        <v>766</v>
      </c>
      <c r="G2" s="31" t="s">
        <v>767</v>
      </c>
      <c r="H2" s="31" t="s">
        <v>768</v>
      </c>
      <c r="I2" s="31" t="s">
        <v>766</v>
      </c>
      <c r="J2" s="31" t="s">
        <v>767</v>
      </c>
      <c r="K2" s="31" t="s">
        <v>768</v>
      </c>
      <c r="L2" s="31" t="s">
        <v>766</v>
      </c>
      <c r="M2" s="31" t="s">
        <v>767</v>
      </c>
      <c r="N2" s="31" t="s">
        <v>768</v>
      </c>
      <c r="O2" s="31" t="s">
        <v>766</v>
      </c>
      <c r="P2" s="31" t="s">
        <v>767</v>
      </c>
      <c r="Q2" s="31" t="s">
        <v>768</v>
      </c>
      <c r="R2" s="31" t="s">
        <v>769</v>
      </c>
      <c r="S2" s="31" t="s">
        <v>770</v>
      </c>
      <c r="T2" s="31" t="s">
        <v>771</v>
      </c>
      <c r="U2" s="31" t="s">
        <v>772</v>
      </c>
      <c r="V2" s="31" t="s">
        <v>773</v>
      </c>
      <c r="W2" s="32" t="s">
        <v>774</v>
      </c>
      <c r="X2" s="31" t="s">
        <v>773</v>
      </c>
      <c r="Y2" s="32" t="s">
        <v>774</v>
      </c>
    </row>
    <row r="3">
      <c r="A3" s="29">
        <f t="shared" ref="A3:A9" si="5">A2+1</f>
        <v>2</v>
      </c>
      <c r="B3" s="29" t="str">
        <f>HLOOKUP(B$1,google_form!$1:$216,$A3,FALSE)</f>
        <v>Data compilations</v>
      </c>
      <c r="C3" s="29" t="str">
        <f>HLOOKUP(C$1,google_form!$1:$216,$A3,FALSE)</f>
        <v>SOCAT</v>
      </c>
      <c r="D3" s="29" t="str">
        <f>HLOOKUP(D$1,google_form!$1:$216,$A3,FALSE)</f>
        <v>Bakker et al. (2016)</v>
      </c>
      <c r="E3" s="33" t="str">
        <f>HLOOKUP(E$1,google_form!$1:$216,$A3,FALSE)</f>
        <v>https://socat.info/wp-content/uploads/2017/06/cropped-socat_cat.png</v>
      </c>
      <c r="F3" s="29" t="str">
        <f t="shared" ref="F3:G3" si="1">if(ISBLANK($C3), "", F$1)</f>
        <v>fa-solid fa-globe</v>
      </c>
      <c r="G3" s="29" t="str">
        <f t="shared" si="1"/>
        <v>Spatial domains</v>
      </c>
      <c r="H3" s="29" t="str">
        <f>HLOOKUP(H$1,google_form!$1:$196,$A3,FALSE)</f>
        <v>Open ocean, Coastal ocean, Surface</v>
      </c>
      <c r="I3" s="29" t="str">
        <f t="shared" ref="I3:J3" si="2">if(ISBLANK($C3), "", I$1)</f>
        <v>fa-solid fa-hourglass-start</v>
      </c>
      <c r="J3" s="29" t="str">
        <f t="shared" si="2"/>
        <v>Temporal resolution</v>
      </c>
      <c r="K3" s="29" t="str">
        <f>HLOOKUP(K$1,google_form!$1:$196,$A3,FALSE)</f>
        <v>continuous</v>
      </c>
      <c r="L3" s="29" t="str">
        <f t="shared" ref="L3:M3" si="3">if(ISBLANK($C3), "", L$1)</f>
        <v>fa-solid fa-ruler-horizontal</v>
      </c>
      <c r="M3" s="29" t="str">
        <f t="shared" si="3"/>
        <v>Spatial resolution</v>
      </c>
      <c r="N3" s="34" t="str">
        <f>HLOOKUP(N$1,google_form!$1:$196,$A3,FALSE)</f>
        <v/>
      </c>
      <c r="O3" s="29" t="str">
        <f t="shared" ref="O3:P3" si="4">if(ISBLANK($C3), "", O$1)</f>
        <v>fa-solid fa-calendar-days</v>
      </c>
      <c r="P3" s="29" t="str">
        <f t="shared" si="4"/>
        <v>Period</v>
      </c>
      <c r="Q3" s="29" t="str">
        <f>HLOOKUP(Q$1,google_form!$1:$196,$A3,FALSE)</f>
        <v>1957 - 2025</v>
      </c>
      <c r="R3" s="29" t="str">
        <f>HLOOKUP(R$1,google_form!$1:$196,$A3,FALSE)</f>
        <v>The largest collection of surface ocean carbon observations</v>
      </c>
      <c r="S3" s="29" t="str">
        <f>HLOOKUP(S$1,google_form!$1:$196,$A3,FALSE)</f>
        <v>Bakker et al. (2016)</v>
      </c>
      <c r="T3" s="33" t="str">
        <f>HLOOKUP(T$1,google_form!$1:$196,$A3,FALSE)</f>
        <v>https://doi.org/10.5194/essd-8-383-2016</v>
      </c>
      <c r="U3" s="33" t="str">
        <f>HLOOKUP(U$1,google_form!$1:$196,$A3,FALSE)</f>
        <v>https://socat.info/</v>
      </c>
      <c r="V3" s="29" t="str">
        <f t="shared" ref="V3:V122" si="10">if(ISBLANK($C3), "", V$1)</f>
        <v>Description</v>
      </c>
      <c r="W3" s="29" t="str">
        <f>HLOOKUP(W$1,google_form!$1:$196,$A3,FALSE)</f>
        <v>The Surface Ocean CO2 Atlas features surface fCO2 measurements from both the open ocean and the coastal ocean, predominantly sourced from research vessels, ships of opportunity, and autonomous platforms including fixed moorings and uncrewed surface vehicles (USVs) (Bakker et al., 2016). It represents the most extensive collection of observational ocean CO2 data for the global surface ocean. Since 2013, SOCAT has been updated annually. Dataset flags indicate the estimated uncertainty and completeness of metadata in SOCAT synthesis products. The SOCAT gridded product contains fCO2 values with an estimated uncertainty of less than 5 µatm. </v>
      </c>
      <c r="X3" s="29" t="str">
        <f t="shared" ref="X3:X122" si="11">if(ISBLANK($C3), "", X$1)</f>
        <v>Reference</v>
      </c>
      <c r="Y3" s="29" t="str">
        <f>HLOOKUP(Y$1,google_form!$1:$196,$A3,FALSE)</f>
        <v>Bakker, D. C. E., Pfeil, B., Landa, C. S., Metzl, N., O'Brien, K. M., Olsen, A., Smith, K., Cosca, C., Harasawa, S., Jones, S. D., Nakaoka, S., Nojiri, Y., Schuster, U., Steinhoff, T., Sweeney, C., Takahashi, T., Tilbrook, B., Wada, C., Wanninkhof, R., Alin, S. R., Balestrini, C. F., Barbero, L., Bates, N. R., Bianchi, A. A., Bonou, F., Boutin, J., Bozec, Y., Burger, E. F., Cai, W.-J., Castle, R. D., Chen, L., Chierici, M., Currie, K., Evans, W., Featherstone, C., Feely, R. A., Fransson, A., Goyet, C., Greenwood, N., Gregor, L., Hankin, S., Hardman-Mountford, N. J., Harlay, J., Hauck, J., Hoppema, M., Humphreys, M. P., Hunt, C. W., Huss, B., Ibánhez, J. S. P., Johannessen, T., Keeling, R., Kitidis, V., Körtzinger, A., Kozyr, A., Krasakopoulou, E., Kuwata, A., Landschützer, P., Lauvset, S. K., Lefèvre, N., Lo Monaco, C., Manke, A., Mathis, J. T., Merlivat, L., Millero, F. J., Monteiro, P. M. S., Munro, D. R., Murata, A., Newberger, T., Omar, A. M., Ono, T., Paterson, K., Pearce, D., Pierrot, D., Robbins, L. L., Saito, S., Salisbury, J., Schlitzer, R., Schneider, B., Schweitzer, R., Sieger, R., Skjelvan, I., Sullivan, K. F., Sutherland, S. C., Sutton, A. J., Tadokoro, K., Telszewski, M., Tuma, M., van Heuven, S. M. A. C., Vandemark, D., Ward, B., Watson, A. J., and Xu, S. (2016). A multi-decade record of high-quality fCO2 data in version 3 of the Surface Ocean CO2 Atlas (SOCAT), Earth Syst. Sci. Data, 8, 383–413, https://doi.org/10.5194/essd-8-383-2016.</v>
      </c>
    </row>
    <row r="4">
      <c r="A4" s="29">
        <f t="shared" si="5"/>
        <v>3</v>
      </c>
      <c r="B4" s="29" t="str">
        <f>HLOOKUP(B$1,google_form!$1:$216,$A4,FALSE)</f>
        <v>Data compilations</v>
      </c>
      <c r="C4" s="29" t="str">
        <f>HLOOKUP(C$1,google_form!$1:$216,$A4,FALSE)</f>
        <v>LDEO Surface pCO2 Database</v>
      </c>
      <c r="D4" s="29" t="str">
        <f>HLOOKUP(D$1,google_form!$1:$216,$A4,FALSE)</f>
        <v>Takahashi et a. (2009)</v>
      </c>
      <c r="E4" s="33" t="str">
        <f>HLOOKUP(E$1,google_form!$1:$216,$A4,FALSE)</f>
        <v>https://www.ncei.noaa.gov/access/ocean-carbon-acidification-data-system/oceans/LDEO_Underway_Database/LDEOv2019_map.jpg</v>
      </c>
      <c r="F4" s="29" t="str">
        <f t="shared" ref="F4:G4" si="6">if(ISBLANK($C4), "", F$1)</f>
        <v>fa-solid fa-globe</v>
      </c>
      <c r="G4" s="29" t="str">
        <f t="shared" si="6"/>
        <v>Spatial domains</v>
      </c>
      <c r="H4" s="29" t="str">
        <f>HLOOKUP(H$1,google_form!$1:$196,$A4,FALSE)</f>
        <v>Open ocean, Surface</v>
      </c>
      <c r="I4" s="29" t="str">
        <f t="shared" ref="I4:J4" si="7">if(ISBLANK($C4), "", I$1)</f>
        <v>fa-solid fa-hourglass-start</v>
      </c>
      <c r="J4" s="29" t="str">
        <f t="shared" si="7"/>
        <v>Temporal resolution</v>
      </c>
      <c r="K4" s="29" t="str">
        <f>HLOOKUP(K$1,google_form!$1:$196,$A4,FALSE)</f>
        <v>continuous</v>
      </c>
      <c r="L4" s="29" t="str">
        <f t="shared" ref="L4:M4" si="8">if(ISBLANK($C4), "", L$1)</f>
        <v>fa-solid fa-ruler-horizontal</v>
      </c>
      <c r="M4" s="29" t="str">
        <f t="shared" si="8"/>
        <v>Spatial resolution</v>
      </c>
      <c r="N4" s="34" t="str">
        <f>HLOOKUP(N$1,google_form!$1:$196,$A4,FALSE)</f>
        <v/>
      </c>
      <c r="O4" s="29" t="str">
        <f t="shared" ref="O4:P4" si="9">if(ISBLANK($C4), "", O$1)</f>
        <v>fa-solid fa-calendar-days</v>
      </c>
      <c r="P4" s="29" t="str">
        <f t="shared" si="9"/>
        <v>Period</v>
      </c>
      <c r="Q4" s="29" t="str">
        <f>HLOOKUP(Q$1,google_form!$1:$196,$A4,FALSE)</f>
        <v/>
      </c>
      <c r="R4" s="29" t="str">
        <f>HLOOKUP(R$1,google_form!$1:$196,$A4,FALSE)</f>
        <v>The LDEO database reports pCO2 exclusively from equilibrator-CO2 analyzer systems</v>
      </c>
      <c r="S4" s="29" t="str">
        <f>HLOOKUP(S$1,google_form!$1:$196,$A4,FALSE)</f>
        <v>Takahashi et a. (2009)</v>
      </c>
      <c r="T4" s="33" t="str">
        <f>HLOOKUP(T$1,google_form!$1:$196,$A4,FALSE)</f>
        <v>https://doi.org/10.1016/j.dsr2.2008.12.009</v>
      </c>
      <c r="U4" s="33" t="str">
        <f>HLOOKUP(U$1,google_form!$1:$196,$A4,FALSE)</f>
        <v>https://www.ncei.noaa.gov/data/oceans/ncei/ocads/metadata/0160492.html</v>
      </c>
      <c r="V4" s="29" t="str">
        <f t="shared" si="10"/>
        <v>Description</v>
      </c>
      <c r="W4" s="29" t="str">
        <f>HLOOKUP(W$1,google_form!$1:$196,$A4,FALSE)</f>
        <v>Dr. Taro Takahashi [LDEO, Palisades, New York] started synthesizing global surface ocean CO2 data in 1997, compiling three decades of observations (~250,000 measurements) to create  inaugural monthly global surface pCO2 maps (Takahashi et al., 1997; Takahashi et al., 2002). The most recent version (V2019) expanded this dataset to approximately 14.2 million surface water pCO2 measurements spanning from 1957–2019. Distinct from the SOCAT database, the LDEO database reports pCO2, instead of fCO2, exclusively from equilibrator-CO2 analyzer systems, with an average estimated uncertainty of ± 2.5 µatm. The database is also interpolated onto a global surface ocean 4° × 5° grid for a reference year 2000 (Takahashi et al., 2009) and 2010 (Fay et al., 2024). </v>
      </c>
      <c r="X4" s="29" t="str">
        <f t="shared" si="11"/>
        <v>Reference</v>
      </c>
      <c r="Y4" s="29" t="str">
        <f>HLOOKUP(Y$1,google_form!$1:$196,$A4,FALSE)</f>
        <v>Takahashi, T., Sutherland, S. C., Wanninkhof, R., Sweeney, C., Feely, R. A., Chipman, D. W., Hales, B., Friederich, G., Chavez, F., Sabine, C., Watson, A., Bakker, D. C. E., Schuster, U., Metzl, N., Yoshikawa-Inoue, H., Ishii, M., Midorikawa, T., Nojiri, Y., Körtzinger, A., Steinhoff, T., and de Baar, H. J. W.: Climatological mean and decadal change in Surface Ocean pCO2, and net sea–air CO2 flux over the Global Oceans, Deep Sea Research Part II: Topical Studies in Oceanography, 56(8–10), 554–577, https://doi.org/10.1016/j.dsr2.2008.12.009, 2009.</v>
      </c>
    </row>
    <row r="5">
      <c r="A5" s="29">
        <f t="shared" si="5"/>
        <v>4</v>
      </c>
      <c r="B5" s="29" t="str">
        <f>HLOOKUP(B$1,google_form!$1:$216,$A5,FALSE)</f>
        <v>Data compilations</v>
      </c>
      <c r="C5" s="29" t="str">
        <f>HLOOKUP(C$1,google_form!$1:$216,$A5,FALSE)</f>
        <v>GLODAPv2</v>
      </c>
      <c r="D5" s="29" t="str">
        <f>HLOOKUP(D$1,google_form!$1:$216,$A5,FALSE)</f>
        <v>Lauvset et al. (2024)</v>
      </c>
      <c r="E5" s="33" t="str">
        <f>HLOOKUP(E$1,google_form!$1:$216,$A5,FALSE)</f>
        <v>https://glodap.info/wp-content/uploads/2017/09/cropped-glodap_logo_trans.png</v>
      </c>
      <c r="F5" s="29" t="str">
        <f t="shared" ref="F5:G5" si="12">if(ISBLANK($C5), "", F$1)</f>
        <v>fa-solid fa-globe</v>
      </c>
      <c r="G5" s="29" t="str">
        <f t="shared" si="12"/>
        <v>Spatial domains</v>
      </c>
      <c r="H5" s="29" t="str">
        <f>HLOOKUP(H$1,google_form!$1:$196,$A5,FALSE)</f>
        <v>Open ocean, Water column</v>
      </c>
      <c r="I5" s="29" t="str">
        <f t="shared" ref="I5:J5" si="13">if(ISBLANK($C5), "", I$1)</f>
        <v>fa-solid fa-hourglass-start</v>
      </c>
      <c r="J5" s="29" t="str">
        <f t="shared" si="13"/>
        <v>Temporal resolution</v>
      </c>
      <c r="K5" s="29" t="str">
        <f>HLOOKUP(K$1,google_form!$1:$196,$A5,FALSE)</f>
        <v>discrete</v>
      </c>
      <c r="L5" s="29" t="str">
        <f t="shared" ref="L5:M5" si="14">if(ISBLANK($C5), "", L$1)</f>
        <v>fa-solid fa-ruler-horizontal</v>
      </c>
      <c r="M5" s="29" t="str">
        <f t="shared" si="14"/>
        <v>Spatial resolution</v>
      </c>
      <c r="N5" s="34" t="str">
        <f>HLOOKUP(N$1,google_form!$1:$196,$A5,FALSE)</f>
        <v/>
      </c>
      <c r="O5" s="29" t="str">
        <f t="shared" ref="O5:P5" si="15">if(ISBLANK($C5), "", O$1)</f>
        <v>fa-solid fa-calendar-days</v>
      </c>
      <c r="P5" s="29" t="str">
        <f t="shared" si="15"/>
        <v>Period</v>
      </c>
      <c r="Q5" s="29" t="str">
        <f>HLOOKUP(Q$1,google_form!$1:$196,$A5,FALSE)</f>
        <v>1960 - 2024</v>
      </c>
      <c r="R5" s="29" t="str">
        <f>HLOOKUP(R$1,google_form!$1:$196,$A5,FALSE)</f>
        <v>Adjustments are applied by comparing data in the deep ocean (&gt;2000 m) using a crossover and inversion method as described by Johnson et al. (2001).</v>
      </c>
      <c r="S5" s="29" t="str">
        <f>HLOOKUP(S$1,google_form!$1:$196,$A5,FALSE)</f>
        <v>Lauvset et al. (2024)</v>
      </c>
      <c r="T5" s="33" t="str">
        <f>HLOOKUP(T$1,google_form!$1:$196,$A5,FALSE)</f>
        <v>https://doi.org/10.5194/essd-16-2047-2024</v>
      </c>
      <c r="U5" s="33" t="str">
        <f>HLOOKUP(U$1,google_form!$1:$196,$A5,FALSE)</f>
        <v>https://glodap.info/</v>
      </c>
      <c r="V5" s="29" t="str">
        <f t="shared" si="10"/>
        <v>Description</v>
      </c>
      <c r="W5" s="29" t="str">
        <f>HLOOKUP(W$1,google_form!$1:$196,$A5,FALSE)</f>
        <v>The Global Ocean Data Analysis Project Version 2 (GLODAPv2) aggregates biogeochemical data collected from discrete bottle samples, offering extensive global coverage from the surface to depths (Key et al., 2015; Olsen et al., 2016; Lauvset et al., 2024). While GLODAP is primarily a product for basin-scale hydrographic data, it also includes coastal datasets and observations from a few time-series. The GLODAPv2 data product provides rigorously quality-controlled measurements for 14 essential oceanographic variables: temperature, salinity, dissolved oxygen (DO), nitrate, silicate, phosphate, DIC, TA, pH, chlorofluorocarbons (CFC-11, CFC-12, CFC-113), carbon tetrachloride (CCl4), and sulfur hexafluoride (SF6). These variables, excluding temperature, undergo both primary and secondary quality control procedures to detect outliers and adjust for significant measurement biases. GLODAPv2 was first published in 2016 and was updated annually through a living data process in Earth System Science Data from 2019 through “v2023,” which was published in 2024. For these updates, new data (including historical data not previously included in the data product) are quality controlled and adjusted to the 2016 version (Olsen et al., 2019; Olsen et al., 2020; Lauvset et al., 2021; Lauvset et al., 2022; Lauvset et al., 2024). Since the global repeat hydrography programs operate with decadal repetitions, the aim is to produce a completely new version of GLODAP, where all cruise datasets will be reevaluated, every decade. Release of the GLODAPv3 data product is planned for 2026, and is expected to evolve the secondary data quality control practices relative to those used in GLODAPv2. For more information on the secondary quality control process, refer to Tanhua et al. (2010) and Lauvset and Tanhua (2015). GLODAPv2 offers two kind of products: the collection of quality controlled data from discrete bottle samples taken at sampling location (Key et al., 2015; Olsen et al., 2016; Olsen et al., 2019; Olsen et al., 2020; Lauvset et al., 2021; Lauvset et al., 2022; Lauvset et al., 2024), and a gridded product, interpolated to a 1° × 1°  grid and the 33 standard depth levels of World Ocean Atlas (WOA) (Lauvset et al., 2016). </v>
      </c>
      <c r="X5" s="29" t="str">
        <f t="shared" si="11"/>
        <v>Reference</v>
      </c>
      <c r="Y5" s="29" t="str">
        <f>HLOOKUP(Y$1,google_form!$1:$196,$A5,FALSE)</f>
        <v>Lauvset, S. K., Lange, N., Tanhua, T., Bittig, H. C., Olsen, A., Kozyr, A., Álvarez, M., Azetsu-Scott, K., Brown, P. J., Carter, B. R., Cotrim da Cunha, L., Hoppema, M., Humphreys, M. P., Ishii, M., Jeansson, E., Murata, A., Müller, J. D., Pérez, F. F., Schirnick, C., Steinfeldt, R., Suzuki, T., Ulfsbo, A., Velo, A., Woosley, R. J., and Key, R. M.: The annual update GLODAPv2.2023: the global interior ocean biogeochemical data product, Earth Syst. Sci. Data, 16, 2047–2072, https://doi.org/10.5194/essd-16-2047-2024, 2024</v>
      </c>
    </row>
    <row r="6">
      <c r="A6" s="29">
        <f t="shared" si="5"/>
        <v>5</v>
      </c>
      <c r="B6" s="29" t="str">
        <f>HLOOKUP(B$1,google_form!$1:$216,$A6,FALSE)</f>
        <v>Data compilations</v>
      </c>
      <c r="C6" s="29" t="str">
        <f>HLOOKUP(C$1,google_form!$1:$216,$A6,FALSE)</f>
        <v>Quality Edited Hydrographic Data</v>
      </c>
      <c r="D6" s="29" t="str">
        <f>HLOOKUP(D$1,google_form!$1:$216,$A6,FALSE)</f>
        <v>Swift et al. (2026)</v>
      </c>
      <c r="E6" s="33" t="str">
        <f>HLOOKUP(E$1,google_form!$1:$216,$A6,FALSE)</f>
        <v>https://i.ibb.co/Q7YZfHK2/Swift-Vertical-Section-Map.png</v>
      </c>
      <c r="F6" s="29" t="str">
        <f t="shared" ref="F6:G6" si="16">if(ISBLANK($C6), "", F$1)</f>
        <v>fa-solid fa-globe</v>
      </c>
      <c r="G6" s="29" t="str">
        <f t="shared" si="16"/>
        <v>Spatial domains</v>
      </c>
      <c r="H6" s="29" t="str">
        <f>HLOOKUP(H$1,google_form!$1:$196,$A6,FALSE)</f>
        <v>Open ocean, Water column</v>
      </c>
      <c r="I6" s="29" t="str">
        <f t="shared" ref="I6:J6" si="17">if(ISBLANK($C6), "", I$1)</f>
        <v>fa-solid fa-hourglass-start</v>
      </c>
      <c r="J6" s="29" t="str">
        <f t="shared" si="17"/>
        <v>Temporal resolution</v>
      </c>
      <c r="K6" s="29" t="str">
        <f>HLOOKUP(K$1,google_form!$1:$196,$A6,FALSE)</f>
        <v>irregular</v>
      </c>
      <c r="L6" s="29" t="str">
        <f t="shared" ref="L6:M6" si="18">if(ISBLANK($C6), "", L$1)</f>
        <v>fa-solid fa-ruler-horizontal</v>
      </c>
      <c r="M6" s="29" t="str">
        <f t="shared" si="18"/>
        <v>Spatial resolution</v>
      </c>
      <c r="N6" s="34" t="str">
        <f>HLOOKUP(N$1,google_form!$1:$196,$A6,FALSE)</f>
        <v/>
      </c>
      <c r="O6" s="29" t="str">
        <f t="shared" ref="O6:P6" si="19">if(ISBLANK($C6), "", O$1)</f>
        <v>fa-solid fa-calendar-days</v>
      </c>
      <c r="P6" s="29" t="str">
        <f t="shared" si="19"/>
        <v>Period</v>
      </c>
      <c r="Q6" s="29" t="str">
        <f>HLOOKUP(Q$1,google_form!$1:$196,$A6,FALSE)</f>
        <v>1967-2025</v>
      </c>
      <c r="R6" s="29" t="str">
        <f>HLOOKUP(R$1,google_form!$1:$196,$A6,FALSE)</f>
        <v>Similar to GLODAPv2, with no adjustments</v>
      </c>
      <c r="S6" s="29" t="str">
        <f>HLOOKUP(S$1,google_form!$1:$196,$A6,FALSE)</f>
        <v>Swift et al. (2026)</v>
      </c>
      <c r="T6" s="29" t="str">
        <f>HLOOKUP(T$1,google_form!$1:$196,$A6,FALSE)</f>
        <v>n/a</v>
      </c>
      <c r="U6" s="33" t="str">
        <f>HLOOKUP(U$1,google_form!$1:$196,$A6,FALSE)</f>
        <v>https://joa.ucsd.edu/Data_homepage</v>
      </c>
      <c r="V6" s="29" t="str">
        <f t="shared" si="10"/>
        <v>Description</v>
      </c>
      <c r="W6" s="29" t="str">
        <f>HLOOKUP(W$1,google_form!$1:$196,$A6,FALSE)</f>
        <v>Similar to GLODAPv2, with no adjustments</v>
      </c>
      <c r="X6" s="29" t="str">
        <f t="shared" si="11"/>
        <v>Reference</v>
      </c>
      <c r="Y6" s="29" t="str">
        <f>HLOOKUP(Y$1,google_form!$1:$196,$A6,FALSE)</f>
        <v>Swift, James H. and Barna, A.  (2026). Quality Edited Vertical Ocean Section and Gridded Hydrographic Data. UC San Diego Library Digital Collections. Dataset. https://doi.org/10.6075/J0K074P0</v>
      </c>
    </row>
    <row r="7">
      <c r="A7" s="29">
        <f t="shared" si="5"/>
        <v>6</v>
      </c>
      <c r="B7" s="29" t="str">
        <f>HLOOKUP(B$1,google_form!$1:$216,$A7,FALSE)</f>
        <v>Data compilations</v>
      </c>
      <c r="C7" s="29" t="str">
        <f>HLOOKUP(C$1,google_form!$1:$216,$A7,FALSE)</f>
        <v>World Ocean Database</v>
      </c>
      <c r="D7" s="29" t="str">
        <f>HLOOKUP(D$1,google_form!$1:$216,$A7,FALSE)</f>
        <v>Mishonov et al. (2024)</v>
      </c>
      <c r="E7" s="33" t="str">
        <f>HLOOKUP(E$1,google_form!$1:$216,$A7,FALSE)</f>
        <v>https://www.ncei.noaa.gov/sites/g/files/anmtlf171/files/inline-images/World%20Ocean%20Atlas%202023%20Climatology%2C%20Decade%202015-2022.png</v>
      </c>
      <c r="F7" s="29" t="str">
        <f t="shared" ref="F7:G7" si="20">if(ISBLANK($C7), "", F$1)</f>
        <v>fa-solid fa-globe</v>
      </c>
      <c r="G7" s="29" t="str">
        <f t="shared" si="20"/>
        <v>Spatial domains</v>
      </c>
      <c r="H7" s="29" t="str">
        <f>HLOOKUP(H$1,google_form!$1:$196,$A7,FALSE)</f>
        <v>Open ocean, Water column</v>
      </c>
      <c r="I7" s="29" t="str">
        <f t="shared" ref="I7:J7" si="21">if(ISBLANK($C7), "", I$1)</f>
        <v>fa-solid fa-hourglass-start</v>
      </c>
      <c r="J7" s="29" t="str">
        <f t="shared" si="21"/>
        <v>Temporal resolution</v>
      </c>
      <c r="K7" s="29" t="str">
        <f>HLOOKUP(K$1,google_form!$1:$196,$A7,FALSE)</f>
        <v>discrete</v>
      </c>
      <c r="L7" s="29" t="str">
        <f t="shared" ref="L7:M7" si="22">if(ISBLANK($C7), "", L$1)</f>
        <v>fa-solid fa-ruler-horizontal</v>
      </c>
      <c r="M7" s="29" t="str">
        <f t="shared" si="22"/>
        <v>Spatial resolution</v>
      </c>
      <c r="N7" s="34" t="str">
        <f>HLOOKUP(N$1,google_form!$1:$196,$A7,FALSE)</f>
        <v/>
      </c>
      <c r="O7" s="29" t="str">
        <f t="shared" ref="O7:P7" si="23">if(ISBLANK($C7), "", O$1)</f>
        <v>fa-solid fa-calendar-days</v>
      </c>
      <c r="P7" s="29" t="str">
        <f t="shared" si="23"/>
        <v>Period</v>
      </c>
      <c r="Q7" s="29" t="str">
        <f>HLOOKUP(Q$1,google_form!$1:$196,$A7,FALSE)</f>
        <v/>
      </c>
      <c r="R7" s="29" t="str">
        <f>HLOOKUP(R$1,google_form!$1:$196,$A7,FALSE)</f>
        <v>Similar to GLODAPv2, with no adjustments</v>
      </c>
      <c r="S7" s="29" t="str">
        <f>HLOOKUP(S$1,google_form!$1:$196,$A7,FALSE)</f>
        <v>Mishonov et al. (2024)</v>
      </c>
      <c r="T7" s="33" t="str">
        <f>HLOOKUP(T$1,google_form!$1:$196,$A7,FALSE)</f>
        <v>https://doi.org/10.25923/z885-h264</v>
      </c>
      <c r="U7" s="33" t="str">
        <f>HLOOKUP(U$1,google_form!$1:$196,$A7,FALSE)</f>
        <v>https://www.ncei.noaa.gov/products/world-ocean-database</v>
      </c>
      <c r="V7" s="29" t="str">
        <f t="shared" si="10"/>
        <v>Description</v>
      </c>
      <c r="W7" s="29" t="str">
        <f>HLOOKUP(W$1,google_form!$1:$196,$A7,FALSE)</f>
        <v>In addition to the GLODAPv2 and JOA Suite, users can also access historical and recent original biogeochemical data collected from discrete bottle samples in a uniform format and units, along with their originator quality control (QC) flags, through the World Ocean Database (WOD) (Mishonov et al., 2024). Like the JOA Suite, these measured data remain unaltered. The WOD allows users to filter and subset data with specific variables, platforms, institutions, projects, regions, or time periods (Garcia et al., 2024). Users can visualize sampling locations on a “distribution plot” and access a cruise list for all selected data and variables. Users also have the option of exporting data in NetCDF or Comma-Separated Values (CSV) formats. Additionally, all data in the WOD are reproducible and traceable to their original data sources archived at NOAA’s National Centers for Environmental Information (NCEI). </v>
      </c>
      <c r="X7" s="29" t="str">
        <f t="shared" si="11"/>
        <v>Reference</v>
      </c>
      <c r="Y7" s="29" t="str">
        <f>HLOOKUP(Y$1,google_form!$1:$196,$A7,FALSE)</f>
        <v>Mishonov, A. V., Boyer, T. P., Baranova, O. K., Bouchard, C. N., Cross, S. L., Garcia H. E., Locarnini, R. A., Paver, C. R., Wang, Z., Seidov, D., Grodsky, A. I., Beauchamp, J. G.: World Ocean Database 2023, C. Bouchard, Technical Ed., NOAA Atlas NESDIS 97, 206 pp., https://doi.org/10.25923/z885-h264, 2024. </v>
      </c>
    </row>
    <row r="8">
      <c r="A8" s="29">
        <f t="shared" si="5"/>
        <v>7</v>
      </c>
      <c r="B8" s="29" t="str">
        <f>HLOOKUP(B$1,google_form!$1:$216,$A8,FALSE)</f>
        <v>Data compilations</v>
      </c>
      <c r="C8" s="29" t="str">
        <f>HLOOKUP(C$1,google_form!$1:$216,$A8,FALSE)</f>
        <v>SNAPO-CO2</v>
      </c>
      <c r="D8" s="29" t="str">
        <f>HLOOKUP(D$1,google_form!$1:$216,$A8,FALSE)</f>
        <v>Metzl et al (2024)</v>
      </c>
      <c r="E8" s="33" t="str">
        <f>HLOOKUP(E$1,google_form!$1:$216,$A8,FALSE)</f>
        <v>https://www.seanoe.org/data/00911/102337/illustration.gif</v>
      </c>
      <c r="F8" s="29" t="str">
        <f t="shared" ref="F8:G8" si="24">if(ISBLANK($C8), "", F$1)</f>
        <v>fa-solid fa-globe</v>
      </c>
      <c r="G8" s="29" t="str">
        <f t="shared" si="24"/>
        <v>Spatial domains</v>
      </c>
      <c r="H8" s="29" t="str">
        <f>HLOOKUP(H$1,google_form!$1:$196,$A8,FALSE)</f>
        <v>Open ocean, Coastal ocean, Surface, Water column</v>
      </c>
      <c r="I8" s="29" t="str">
        <f t="shared" ref="I8:J8" si="25">if(ISBLANK($C8), "", I$1)</f>
        <v>fa-solid fa-hourglass-start</v>
      </c>
      <c r="J8" s="29" t="str">
        <f t="shared" si="25"/>
        <v>Temporal resolution</v>
      </c>
      <c r="K8" s="29" t="str">
        <f>HLOOKUP(K$1,google_form!$1:$196,$A8,FALSE)</f>
        <v>discrete</v>
      </c>
      <c r="L8" s="29" t="str">
        <f t="shared" ref="L8:M8" si="26">if(ISBLANK($C8), "", L$1)</f>
        <v>fa-solid fa-ruler-horizontal</v>
      </c>
      <c r="M8" s="29" t="str">
        <f t="shared" si="26"/>
        <v>Spatial resolution</v>
      </c>
      <c r="N8" s="34" t="str">
        <f>HLOOKUP(N$1,google_form!$1:$196,$A8,FALSE)</f>
        <v/>
      </c>
      <c r="O8" s="29" t="str">
        <f t="shared" ref="O8:P8" si="27">if(ISBLANK($C8), "", O$1)</f>
        <v>fa-solid fa-calendar-days</v>
      </c>
      <c r="P8" s="29" t="str">
        <f t="shared" si="27"/>
        <v>Period</v>
      </c>
      <c r="Q8" s="29" t="str">
        <f>HLOOKUP(Q$1,google_form!$1:$196,$A8,FALSE)</f>
        <v>1993-2022</v>
      </c>
      <c r="R8" s="29" t="str">
        <f>HLOOKUP(R$1,google_form!$1:$196,$A8,FALSE)</f>
        <v>A compilation of cruises from multiple French initiatives</v>
      </c>
      <c r="S8" s="29" t="str">
        <f>HLOOKUP(S$1,google_form!$1:$196,$A8,FALSE)</f>
        <v>Metzl et al (2024)</v>
      </c>
      <c r="T8" s="33" t="str">
        <f>HLOOKUP(T$1,google_form!$1:$196,$A8,FALSE)</f>
        <v>https://doi.org/10.5194/essd-16-89-2024</v>
      </c>
      <c r="U8" s="33" t="str">
        <f>HLOOKUP(U$1,google_form!$1:$196,$A8,FALSE)</f>
        <v>https://doi.org/10.17882/102337</v>
      </c>
      <c r="V8" s="29" t="str">
        <f t="shared" si="10"/>
        <v>Description</v>
      </c>
      <c r="W8" s="29" t="str">
        <f>HLOOKUP(W$1,google_form!$1:$196,$A8,FALSE)</f>
        <v>Synthesis of 44,400 measurements of DIC and TA from a series of research cruises and ships of opportunity across various oceanic regions from 1993-2022, from several French research programs, to create a product called “Service National d’Analyse des Paramètres Océaniques du CO2 (SNAPO-CO2)”. </v>
      </c>
      <c r="X8" s="29" t="str">
        <f t="shared" si="11"/>
        <v>Reference</v>
      </c>
      <c r="Y8" s="29" t="str">
        <f>HLOOKUP(Y$1,google_form!$1:$196,$A8,FALSE)</f>
        <v>Metzl, N., Fin, J., Lo Monaco, C., Mignon, C., Alliouane, S., Antoine, D., Bourdin, G., Boutin, J., Bozec, Y., Conan, P., Coppola, L., Diaz, F., Douville, E., Durrieu de Madron, X., Gattuso, J.-P., Gazeau, F., Golbol, M., Lansard, B., Lefèvre, D., Lefèvre, N., Lombard, F., Louanchi, F., Merlivat, L., Olivier, L., Petrenko, A., Petton, S., Pujo-Pay, M., Rabouille, C., Reverdin, G., Ridame, C., Tribollet, A., Vellucci, V., Wagener, T., and Wimart-Rousseau, C.: A synthesis of ocean total alkalinity and dissolved inorganic carbon measurements from 1993 to 2022: the SNAPO-CO2-v1 dataset, Earth Syst. Sci. Data, 16, 89–120, https://doi.org/10.5194/essd-16-89-2024, 2024.</v>
      </c>
    </row>
    <row r="9">
      <c r="A9" s="29">
        <f t="shared" si="5"/>
        <v>8</v>
      </c>
      <c r="B9" s="29" t="str">
        <f>HLOOKUP(B$1,google_form!$1:$216,$A9,FALSE)</f>
        <v>Data compilations</v>
      </c>
      <c r="C9" s="29" t="str">
        <f>HLOOKUP(C$1,google_form!$1:$216,$A9,FALSE)</f>
        <v>CODAP-NA</v>
      </c>
      <c r="D9" s="29" t="str">
        <f>HLOOKUP(D$1,google_form!$1:$216,$A9,FALSE)</f>
        <v>Jiang et al. (2021)</v>
      </c>
      <c r="E9" s="33" t="str">
        <f>HLOOKUP(E$1,google_form!$1:$216,$A9,FALSE)</f>
        <v>https://essd.copernicus.org/articles/13/2777/2021/essd-13-2777-2021-f01-web.png</v>
      </c>
      <c r="F9" s="29" t="str">
        <f t="shared" ref="F9:G9" si="28">if(ISBLANK($C9), "", F$1)</f>
        <v>fa-solid fa-globe</v>
      </c>
      <c r="G9" s="29" t="str">
        <f t="shared" si="28"/>
        <v>Spatial domains</v>
      </c>
      <c r="H9" s="29" t="str">
        <f>HLOOKUP(H$1,google_form!$1:$196,$A9,FALSE)</f>
        <v>Coastal ocean, Water column</v>
      </c>
      <c r="I9" s="29" t="str">
        <f t="shared" ref="I9:J9" si="29">if(ISBLANK($C9), "", I$1)</f>
        <v>fa-solid fa-hourglass-start</v>
      </c>
      <c r="J9" s="29" t="str">
        <f t="shared" si="29"/>
        <v>Temporal resolution</v>
      </c>
      <c r="K9" s="29" t="str">
        <f>HLOOKUP(K$1,google_form!$1:$196,$A9,FALSE)</f>
        <v>discrete</v>
      </c>
      <c r="L9" s="29" t="str">
        <f t="shared" ref="L9:M9" si="30">if(ISBLANK($C9), "", L$1)</f>
        <v>fa-solid fa-ruler-horizontal</v>
      </c>
      <c r="M9" s="29" t="str">
        <f t="shared" si="30"/>
        <v>Spatial resolution</v>
      </c>
      <c r="N9" s="34" t="str">
        <f>HLOOKUP(N$1,google_form!$1:$196,$A9,FALSE)</f>
        <v/>
      </c>
      <c r="O9" s="29" t="str">
        <f t="shared" ref="O9:P9" si="31">if(ISBLANK($C9), "", O$1)</f>
        <v>fa-solid fa-calendar-days</v>
      </c>
      <c r="P9" s="29" t="str">
        <f t="shared" si="31"/>
        <v>Period</v>
      </c>
      <c r="Q9" s="29" t="str">
        <f>HLOOKUP(Q$1,google_form!$1:$196,$A9,FALSE)</f>
        <v>2003 - 2018</v>
      </c>
      <c r="R9" s="29" t="str">
        <f>HLOOKUP(R$1,google_form!$1:$196,$A9,FALSE)</f>
        <v>A discrete bottle based data product similar to GLODAPv2, but for the North American coastal ocean</v>
      </c>
      <c r="S9" s="29" t="str">
        <f>HLOOKUP(S$1,google_form!$1:$196,$A9,FALSE)</f>
        <v>Jiang et al. (2021)</v>
      </c>
      <c r="T9" s="33" t="str">
        <f>HLOOKUP(T$1,google_form!$1:$196,$A9,FALSE)</f>
        <v>https://doi.org/10.5194/essd-13-2777-2021</v>
      </c>
      <c r="U9" s="33" t="str">
        <f>HLOOKUP(U$1,google_form!$1:$196,$A9,FALSE)</f>
        <v>https://www.ncei.noaa.gov/data/oceans/ncei/ocads/metadata/0219960.html</v>
      </c>
      <c r="V9" s="29" t="str">
        <f t="shared" si="10"/>
        <v>Description</v>
      </c>
      <c r="W9" s="29" t="str">
        <f>HLOOKUP(W$1,google_form!$1:$196,$A9,FALSE)</f>
        <v>Jiang et al. (2021) synthesized two decades of discrete measurements of carbonate system variables, DO, and nutrient data from the North American continental shelves to generate the first version of Coastal Ocean Data Analysis Data Product in North America (CODAP-NA). The 2021 release encompasses 3,391 oceanographic profiles from 61 research cruises spanning the North American continental shelves from Alaska to Mexico in the west and from Canada to the Caribbean in the east. It includes 14 key variables, including temperature, salinity, DO, DIC, TA, pH, carbonate ion, fCO2, silicate, phosphate, nitrate. </v>
      </c>
      <c r="X9" s="29" t="str">
        <f t="shared" si="11"/>
        <v>Reference</v>
      </c>
      <c r="Y9" s="29" t="str">
        <f>HLOOKUP(Y$1,google_form!$1:$196,$A9,FALSE)</f>
        <v>Jiang, L.-Q., Feely, R. A., Wanninkhof, R., Greeley, D., Barbero, L., Alin, S., Carter, B. R., Pierrot, D., Featherstone, C., Hooper, J., Melrose, C., Monacci, N., Sharp, J. D., Shellito, S., Xu, Y.-Y., Kozyr, A., Byrne, R. H., Cai, W.-J., Cross, J., Johnson, G. C., Hales, B., Langdon, C., Mathis, J., Salisbury, J., and Townsend, D. W.: Coastal Ocean Data Analysis Product in North America (CODAP-NA) – an internally consistent data product for discrete inorganic carbon, oxygen, and nutrients on the North American ocean margins, Earth Syst. Sci. Data, 13, 2777–2799, https://doi.org/10.5194/essd-13-2777-2021, 2021.</v>
      </c>
    </row>
    <row r="10">
      <c r="A10" s="29">
        <v>9.0</v>
      </c>
      <c r="B10" s="29" t="str">
        <f>HLOOKUP(B$1,google_form!$1:$216,$A10,FALSE)</f>
        <v>Data compilations</v>
      </c>
      <c r="C10" s="29" t="str">
        <f>HLOOKUP(C$1,google_form!$1:$216,$A10,FALSE)</f>
        <v>AZMP Carbon</v>
      </c>
      <c r="D10" s="29" t="str">
        <f>HLOOKUP(D$1,google_form!$1:$216,$A10,FALSE)</f>
        <v>Gibb et al. (2023)</v>
      </c>
      <c r="E10" s="33" t="str">
        <f>HLOOKUP(E$1,google_form!$1:$216,$A10,FALSE)</f>
        <v>https://essd.copernicus.org/articles/15/4127/2023/essd-15-4127-2023-avatar-web.png</v>
      </c>
      <c r="F10" s="29" t="str">
        <f t="shared" ref="F10:G10" si="32">if(ISBLANK($C10), "", F$1)</f>
        <v>fa-solid fa-globe</v>
      </c>
      <c r="G10" s="29" t="str">
        <f t="shared" si="32"/>
        <v>Spatial domains</v>
      </c>
      <c r="H10" s="29" t="str">
        <f>HLOOKUP(H$1,google_form!$1:$196,$A10,FALSE)</f>
        <v>Coastal ocean, Water column</v>
      </c>
      <c r="I10" s="29" t="str">
        <f t="shared" ref="I10:J10" si="33">if(ISBLANK($C10), "", I$1)</f>
        <v>fa-solid fa-hourglass-start</v>
      </c>
      <c r="J10" s="29" t="str">
        <f t="shared" si="33"/>
        <v>Temporal resolution</v>
      </c>
      <c r="K10" s="29" t="str">
        <f>HLOOKUP(K$1,google_form!$1:$196,$A10,FALSE)</f>
        <v>irregular</v>
      </c>
      <c r="L10" s="29" t="str">
        <f t="shared" ref="L10:M10" si="34">if(ISBLANK($C10), "", L$1)</f>
        <v>fa-solid fa-ruler-horizontal</v>
      </c>
      <c r="M10" s="29" t="str">
        <f t="shared" si="34"/>
        <v>Spatial resolution</v>
      </c>
      <c r="N10" s="34" t="str">
        <f>HLOOKUP(N$1,google_form!$1:$196,$A10,FALSE)</f>
        <v/>
      </c>
      <c r="O10" s="29" t="str">
        <f t="shared" ref="O10:P10" si="35">if(ISBLANK($C10), "", O$1)</f>
        <v>fa-solid fa-calendar-days</v>
      </c>
      <c r="P10" s="29" t="str">
        <f t="shared" si="35"/>
        <v>Period</v>
      </c>
      <c r="Q10" s="29" t="str">
        <f>HLOOKUP(Q$1,google_form!$1:$196,$A10,FALSE)</f>
        <v/>
      </c>
      <c r="R10" s="29" t="str">
        <f>HLOOKUP(R$1,google_form!$1:$196,$A10,FALSE)</f>
        <v>A compilation of cruises from the Atlantic Zone Monitoring Program (AZMP) since 2014</v>
      </c>
      <c r="S10" s="29" t="str">
        <f>HLOOKUP(S$1,google_form!$1:$196,$A10,FALSE)</f>
        <v>Gibb et al. (2023)</v>
      </c>
      <c r="T10" s="33" t="str">
        <f>HLOOKUP(T$1,google_form!$1:$196,$A10,FALSE)</f>
        <v>https://doi.org/10.5194/essd-15-4127-2023</v>
      </c>
      <c r="U10" s="33" t="str">
        <f>HLOOKUP(U$1,google_form!$1:$196,$A10,FALSE)</f>
        <v>https://doi.org/10.20383/102.0673</v>
      </c>
      <c r="V10" s="29" t="str">
        <f t="shared" si="10"/>
        <v>Description</v>
      </c>
      <c r="W10" s="29" t="str">
        <f>HLOOKUP(W$1,google_form!$1:$196,$A10,FALSE)</f>
        <v>Gibb et al. (2023) compiled ocean carbonate system variables data from the Canadian Atlantic Zone Monitoring Program (AZMP Carbon) since 2014. More than 100 seagoing missions are represented in this dataset. The sampling strategy generally corresponds to full-depth water samples mostly collected along standardized hydrographic sections. Implemented in 1998, the AZMP aims to characterize and understand the causes of oceanic variability at the seasonal, interannual and decadal scales in support of, among other things, fisheries management in the Atlantic Zone (including the Gulf of St. Lawrence, the Scotian shelf and the Newfoundland and Labrador shelf). Since 2014, a minimum of two of the three following carbonate system variables, DIC, TA, and pH, are also acquired by the program at standardized hydrographic stations across the zone (sampled up to three times a year). Each measurement is completed with corresponding temperature, salinity and, when available, nutrients and DO concentration data. </v>
      </c>
      <c r="X10" s="29" t="str">
        <f t="shared" si="11"/>
        <v>Reference</v>
      </c>
      <c r="Y10" s="29" t="str">
        <f>HLOOKUP(Y$1,google_form!$1:$196,$A10,FALSE)</f>
        <v>Gibb, O., Cyr, F., Azetsu-Scott, K., Chassé, J., Childs, D., Gabriel, C.-E., Galbraith, P. S., Maillet, G., Pepin, P., Punshon, S., and Starr, M.: Spatiotemporal variability in pH and carbonate parameters on the Canadian Atlantic continental shelf between 2014 and 2022, Earth Syst. Sci. Data, 15, 4127–4162, https://doi.org/10.5194/essd-15-4127-2023, 2023.</v>
      </c>
    </row>
    <row r="11">
      <c r="A11" s="29">
        <v>10.0</v>
      </c>
      <c r="B11" s="29" t="str">
        <f>HLOOKUP(B$1,google_form!$1:$216,$A11,FALSE)</f>
        <v>Data compilations</v>
      </c>
      <c r="C11" s="29" t="str">
        <f>HLOOKUP(C$1,google_form!$1:$216,$A11,FALSE)</f>
        <v>MOCHA</v>
      </c>
      <c r="D11" s="29" t="str">
        <f>HLOOKUP(D$1,google_form!$1:$216,$A11,FALSE)</f>
        <v>Kennedy et al., 2023</v>
      </c>
      <c r="E11" s="33" t="str">
        <f>HLOOKUP(E$1,google_form!$1:$216,$A11,FALSE)</f>
        <v>https://i.ibb.co/XrpxsXPX/data-locs-composite-bs.png</v>
      </c>
      <c r="F11" s="29" t="str">
        <f t="shared" ref="F11:G11" si="36">if(ISBLANK($C11), "", F$1)</f>
        <v>fa-solid fa-globe</v>
      </c>
      <c r="G11" s="29" t="str">
        <f t="shared" si="36"/>
        <v>Spatial domains</v>
      </c>
      <c r="H11" s="29" t="str">
        <f>HLOOKUP(H$1,google_form!$1:$196,$A11,FALSE)</f>
        <v>Regional, Coastal ocean, Surface, Water column</v>
      </c>
      <c r="I11" s="29" t="str">
        <f t="shared" ref="I11:J11" si="37">if(ISBLANK($C11), "", I$1)</f>
        <v>fa-solid fa-hourglass-start</v>
      </c>
      <c r="J11" s="29" t="str">
        <f t="shared" si="37"/>
        <v>Temporal resolution</v>
      </c>
      <c r="K11" s="29" t="str">
        <f>HLOOKUP(K$1,google_form!$1:$196,$A11,FALSE)</f>
        <v>irregular, daily</v>
      </c>
      <c r="L11" s="29" t="str">
        <f t="shared" ref="L11:M11" si="38">if(ISBLANK($C11), "", L$1)</f>
        <v>fa-solid fa-ruler-horizontal</v>
      </c>
      <c r="M11" s="29" t="str">
        <f t="shared" si="38"/>
        <v>Spatial resolution</v>
      </c>
      <c r="N11" s="34" t="str">
        <f>HLOOKUP(N$1,google_form!$1:$196,$A11,FALSE)</f>
        <v/>
      </c>
      <c r="O11" s="29" t="str">
        <f t="shared" ref="O11:P11" si="39">if(ISBLANK($C11), "", O$1)</f>
        <v>fa-solid fa-calendar-days</v>
      </c>
      <c r="P11" s="29" t="str">
        <f t="shared" si="39"/>
        <v>Period</v>
      </c>
      <c r="Q11" s="29" t="str">
        <f>HLOOKUP(Q$1,google_form!$1:$196,$A11,FALSE)</f>
        <v>1949-2022</v>
      </c>
      <c r="R11" s="29" t="str">
        <f>HLOOKUP(R$1,google_form!$1:$196,$A11,FALSE)</f>
        <v>A compilation of cruises, autonomous sensors, and shore observations for the U.S. West Coast.</v>
      </c>
      <c r="S11" s="29" t="str">
        <f>HLOOKUP(S$1,google_form!$1:$196,$A11,FALSE)</f>
        <v>Kennedy et al., 2023</v>
      </c>
      <c r="T11" s="33" t="str">
        <f>HLOOKUP(T$1,google_form!$1:$196,$A11,FALSE)</f>
        <v>https://doi.org/10.25921/2vve-fh39</v>
      </c>
      <c r="U11" s="33" t="str">
        <f>HLOOKUP(U$1,google_form!$1:$196,$A11,FALSE)</f>
        <v>https://www.ncei.noaa.gov/access/metadata/landing-page/bin/iso?id=gov.noaa.nodc:0277984</v>
      </c>
      <c r="V11" s="29" t="str">
        <f t="shared" si="10"/>
        <v>Description</v>
      </c>
      <c r="W11" s="29" t="str">
        <f>HLOOKUP(W$1,google_form!$1:$196,$A11,FALSE)</f>
        <v>MOCHA compiles temperature, salinity, DO, ocean carbonate system variables (DIC, TA, pH, pCO2 , fCO2 ), nutrients, and chlorophyll observations from the full water column along the U.S. west coast. This synthesis brings together 71 different sources, including high-resolution autonomous sensors, synoptic oceanographic cruises, and shoreline samples, into a single quality-controlled product that facilitates linking nearshore, high-resolution observations to broader oceanographic conditions. MOCHA spans from the shoreline to well-beyond the continental shelf and includes over 15 million observations. The MOCHA synthesis is also available as a "daily aggregated" dataset, with all data sources averaged by day, location, and depth.</v>
      </c>
      <c r="X11" s="29" t="str">
        <f t="shared" si="11"/>
        <v>Reference</v>
      </c>
      <c r="Y11" s="29" t="str">
        <f>HLOOKUP(Y$1,google_form!$1:$196,$A11,FALSE)</f>
        <v>Kennedy, E. G., Zulian, M., Hamilton, S. L., Hill, T. M., Delgado, M., Fish, C. R., Gaylord, B., Kroeker, K. J., Palmer, H. M., Ricart, A. M., Sanford, E., Spalding, A. K., Ward, M., Carrasco, G., Elliott, M., Grisby, G. V., Harris, E., Jahncke, J., Rocheleau, C. N., Westering, S., and Wilmot, M. I.: A high-resolution synthesis dataset for multistressor analyses along the US West Coast, Earth Syst. Sci. Data, 16, 219-243, https://doi.org/10.5194/essd-16-219-2024, 2024.</v>
      </c>
    </row>
    <row r="12">
      <c r="A12" s="29">
        <v>11.0</v>
      </c>
      <c r="B12" s="29" t="str">
        <f>HLOOKUP(B$1,google_form!$1:$216,$A12,FALSE)</f>
        <v>Data compilations</v>
      </c>
      <c r="C12" s="29" t="str">
        <f>HLOOKUP(C$1,google_form!$1:$216,$A12,FALSE)</f>
        <v>ARIOS</v>
      </c>
      <c r="D12" s="29" t="str">
        <f>HLOOKUP(D$1,google_form!$1:$216,$A12,FALSE)</f>
        <v>Padin et al. (2020)</v>
      </c>
      <c r="E12" s="33" t="str">
        <f>HLOOKUP(E$1,google_form!$1:$216,$A12,FALSE)</f>
        <v>https://essd.copernicus.org/articles/12/2647/2020/essd-12-2647-2020-f01-web.png</v>
      </c>
      <c r="F12" s="29" t="str">
        <f t="shared" ref="F12:G12" si="40">if(ISBLANK($C12), "", F$1)</f>
        <v>fa-solid fa-globe</v>
      </c>
      <c r="G12" s="29" t="str">
        <f t="shared" si="40"/>
        <v>Spatial domains</v>
      </c>
      <c r="H12" s="29" t="str">
        <f>HLOOKUP(H$1,google_form!$1:$196,$A12,FALSE)</f>
        <v>Coastal ocean, Surface, Water column, Regional</v>
      </c>
      <c r="I12" s="29" t="str">
        <f t="shared" ref="I12:J12" si="41">if(ISBLANK($C12), "", I$1)</f>
        <v>fa-solid fa-hourglass-start</v>
      </c>
      <c r="J12" s="29" t="str">
        <f t="shared" si="41"/>
        <v>Temporal resolution</v>
      </c>
      <c r="K12" s="29" t="str">
        <f>HLOOKUP(K$1,google_form!$1:$196,$A12,FALSE)</f>
        <v>irregular, discrete</v>
      </c>
      <c r="L12" s="29" t="str">
        <f t="shared" ref="L12:M12" si="42">if(ISBLANK($C12), "", L$1)</f>
        <v>fa-solid fa-ruler-horizontal</v>
      </c>
      <c r="M12" s="29" t="str">
        <f t="shared" si="42"/>
        <v>Spatial resolution</v>
      </c>
      <c r="N12" s="34" t="str">
        <f>HLOOKUP(N$1,google_form!$1:$196,$A12,FALSE)</f>
        <v/>
      </c>
      <c r="O12" s="29" t="str">
        <f t="shared" ref="O12:P12" si="43">if(ISBLANK($C12), "", O$1)</f>
        <v>fa-solid fa-calendar-days</v>
      </c>
      <c r="P12" s="29" t="str">
        <f t="shared" si="43"/>
        <v>Period</v>
      </c>
      <c r="Q12" s="29" t="str">
        <f>HLOOKUP(Q$1,google_form!$1:$196,$A12,FALSE)</f>
        <v>1976-2018</v>
      </c>
      <c r="R12" s="29" t="str">
        <f>HLOOKUP(R$1,google_form!$1:$196,$A12,FALSE)</f>
        <v>17,653 samples from 3,343 stations measuring pH, alkalinity, and biogeochemical params off NW Iberian Peninsula (1976-2018). Data primarily from Ría de Vigo, spanning Bay of Biscay to Portuguese coast</v>
      </c>
      <c r="S12" s="29" t="str">
        <f>HLOOKUP(S$1,google_form!$1:$196,$A12,FALSE)</f>
        <v>Padin et al. (2020)</v>
      </c>
      <c r="T12" s="33" t="str">
        <f>HLOOKUP(T$1,google_form!$1:$196,$A12,FALSE)</f>
        <v>https://doi.org/10.5194/essd-12-2647-2020</v>
      </c>
      <c r="U12" s="33" t="str">
        <f>HLOOKUP(U$1,google_form!$1:$196,$A12,FALSE)</f>
        <v>https://doi.org/10.20350/digitalCSIC/12498</v>
      </c>
      <c r="V12" s="29" t="str">
        <f t="shared" si="10"/>
        <v>Description</v>
      </c>
      <c r="W12" s="29" t="str">
        <f>HLOOKUP(W$1,google_form!$1:$196,$A12,FALSE)</f>
        <v>A data product of 17 653 discrete samples from 3343 oceanographic stations combining measurements of pH, alkalinity and other biogeochemical parameters off the northwestern Iberian Peninsula from June 1976 to September 2018 is presented in this study. The oceanography cruises funded by 24 projects were primarily carried out in the Ría de Vigo coastal inlet but also in an area ranging from the Bay of Biscay to the Portuguese coast. The robust seasonal cycles and long-term trends were only calculated along a longitudinal section, gathering data from the coastal and oceanic zone of the Iberian upwelling system. The pH in the surface waters of these separated regions, which were highly variable due to intense photosynthesis and the remineralization of organic matter, showed an interannual acidification ranging from −0.0012 to −0.0039 yr−1 that grew towards the coastline. This result is obtained despite the buffering capacity increasing in the coastal waters further inland as shown by the increase in alkalinity by 1.1±0.7 and 2.6±1.0 µmol kg−1 yr−1 in the inner and outer Ría de Vigo respectively, driven by interannual changes in the surface salinity of 0.0193±0.0056 and 0.0426±0.016 psu yr−1 respectively. The loss of the vertical salinity gradient in the long-term trend in the inner ria was consistent with other significant biogeochemical changes such as a lower oxygen concentration and fertilization of the surface waters. These findings seem to be related to a growing footprint of sediment remineralization of organic matter in the surface layer of a more homogeneous water column.</v>
      </c>
      <c r="X12" s="29" t="str">
        <f t="shared" si="11"/>
        <v>Reference</v>
      </c>
      <c r="Y12" s="29" t="str">
        <f>HLOOKUP(Y$1,google_form!$1:$196,$A12,FALSE)</f>
        <v>Padin, X.A., Velo, A., Pérez, F.F., 2020. ARIOS: a database for ocean acidification assessment in the Iberian upwelling system (1976–2018). Earth Syst. Sci. Data 12, 2647–2663. https://doi.org/10.5194/essd-12-2647-2020</v>
      </c>
    </row>
    <row r="13">
      <c r="A13" s="29">
        <v>12.0</v>
      </c>
      <c r="B13" s="29" t="str">
        <f>HLOOKUP(B$1,google_form!$1:$216,$A13,FALSE)</f>
        <v>Data compilations</v>
      </c>
      <c r="C13" s="29" t="str">
        <f>HLOOKUP(C$1,google_form!$1:$216,$A13,FALSE)</f>
        <v>Marine Inorganic Carbonate Chemistry in the Northern Gulf of Alaska</v>
      </c>
      <c r="D13" s="29" t="str">
        <f>HLOOKUP(D$1,google_form!$1:$216,$A13,FALSE)</f>
        <v>Monacci et al. (2024)</v>
      </c>
      <c r="E13" s="33" t="str">
        <f>HLOOKUP(E$1,google_form!$1:$216,$A13,FALSE)</f>
        <v>https://essd.copernicus.org/articles/16/647/2024/essd-16-647-2024-avatar-web.png</v>
      </c>
      <c r="F13" s="29" t="str">
        <f t="shared" ref="F13:G13" si="44">if(ISBLANK($C13), "", F$1)</f>
        <v>fa-solid fa-globe</v>
      </c>
      <c r="G13" s="29" t="str">
        <f t="shared" si="44"/>
        <v>Spatial domains</v>
      </c>
      <c r="H13" s="29" t="str">
        <f>HLOOKUP(H$1,google_form!$1:$196,$A13,FALSE)</f>
        <v>Coastal ocean, Water column</v>
      </c>
      <c r="I13" s="29" t="str">
        <f t="shared" ref="I13:J13" si="45">if(ISBLANK($C13), "", I$1)</f>
        <v>fa-solid fa-hourglass-start</v>
      </c>
      <c r="J13" s="29" t="str">
        <f t="shared" si="45"/>
        <v>Temporal resolution</v>
      </c>
      <c r="K13" s="29" t="str">
        <f>HLOOKUP(K$1,google_form!$1:$196,$A13,FALSE)</f>
        <v>discrete</v>
      </c>
      <c r="L13" s="29" t="str">
        <f t="shared" ref="L13:M13" si="46">if(ISBLANK($C13), "", L$1)</f>
        <v>fa-solid fa-ruler-horizontal</v>
      </c>
      <c r="M13" s="29" t="str">
        <f t="shared" si="46"/>
        <v>Spatial resolution</v>
      </c>
      <c r="N13" s="34" t="str">
        <f>HLOOKUP(N$1,google_form!$1:$196,$A13,FALSE)</f>
        <v/>
      </c>
      <c r="O13" s="29" t="str">
        <f t="shared" ref="O13:P13" si="47">if(ISBLANK($C13), "", O$1)</f>
        <v>fa-solid fa-calendar-days</v>
      </c>
      <c r="P13" s="29" t="str">
        <f t="shared" si="47"/>
        <v>Period</v>
      </c>
      <c r="Q13" s="29" t="str">
        <f>HLOOKUP(Q$1,google_form!$1:$196,$A13,FALSE)</f>
        <v>2008 - 2017</v>
      </c>
      <c r="R13" s="29" t="str">
        <f>HLOOKUP(R$1,google_form!$1:$196,$A13,FALSE)</f>
        <v>A synthesis of twenty cruises from 2008 to 2017 on the Gulf of Alaska (GAK) Line</v>
      </c>
      <c r="S13" s="29" t="str">
        <f>HLOOKUP(S$1,google_form!$1:$196,$A13,FALSE)</f>
        <v>Monacci et al. (2024)</v>
      </c>
      <c r="T13" s="33" t="str">
        <f>HLOOKUP(T$1,google_form!$1:$196,$A13,FALSE)</f>
        <v>https://doi.org/10.5194/essd-16-647-2024</v>
      </c>
      <c r="U13" s="33" t="str">
        <f>HLOOKUP(U$1,google_form!$1:$196,$A13,FALSE)</f>
        <v>https://www.ncei.noaa.gov/data/oceans/ncei/ocads/metadata/0277034.html</v>
      </c>
      <c r="V13" s="29" t="str">
        <f t="shared" si="10"/>
        <v>Description</v>
      </c>
      <c r="W13" s="29" t="str">
        <f>HLOOKUP(W$1,google_form!$1:$196,$A13,FALSE)</f>
        <v>Monacci et al. (2023) compiled a data product of discrete seawater samples collected each May and September over a 10-year period from 2008 to 2017 along the long-term hydrographic line in the Gulf of Alaska (GAK Line). Samples were collected from a sampling rosette on a profiling CTD. Data variables include profiled seawater temperature, salinity, and DO. Discrete sample variables include DO (i.e., Winkler titrations), macronutrients (nitrate, nitrite, phosphate, silicic acid), DIC, and TA. All carbonate system variables were analyzed at the Ocean Acidification Research Center (OARC) at the University of Alaska Fairbanks (UAF). The repeat hydrographic cruises were funded by the Alaska Ocean Observing System (AOOS), the Exxon Valdez Oil Spill Trustee Council (EVOS), Gulf Watch Alaska, and the North Pacific Research Board (NPRB) and were mostly conducted aboard the United States Fish and Wildlife Service (USFWS) R/V Tiĝlax̂.</v>
      </c>
      <c r="X13" s="29" t="str">
        <f t="shared" si="11"/>
        <v>Reference</v>
      </c>
      <c r="Y13" s="29" t="str">
        <f>HLOOKUP(Y$1,google_form!$1:$196,$A13,FALSE)</f>
        <v>Monacci, N. M., Cross, J. N., Evans, W., Mathis, J. T., and Wang, H.: A decade of marine inorganic carbon chemistry observations in the northern Gulf of Alaska – insights into an environment in transition, Earth Syst. Sci. Data, 16, 647–665, https://doi.org/10.5194/essd-16-647-2024, 2024.</v>
      </c>
    </row>
    <row r="14">
      <c r="A14" s="29">
        <v>13.0</v>
      </c>
      <c r="B14" s="29" t="str">
        <f>HLOOKUP(B$1,google_form!$1:$216,$A14,FALSE)</f>
        <v>Data compilations</v>
      </c>
      <c r="C14" s="29" t="str">
        <f>HLOOKUP(C$1,google_form!$1:$216,$A14,FALSE)</f>
        <v>Coral Reef Carbonate Chemistry Off the Florida Keys</v>
      </c>
      <c r="D14" s="29" t="str">
        <f>HLOOKUP(D$1,google_form!$1:$216,$A14,FALSE)</f>
        <v>Palacio-Castro et al. (2023)</v>
      </c>
      <c r="E14" s="33" t="str">
        <f>HLOOKUP(E$1,google_form!$1:$216,$A14,FALSE)</f>
        <v>https://i.ibb.co/yc5J25Q6/gbc21508-fig-0001-m.jpg</v>
      </c>
      <c r="F14" s="29" t="str">
        <f t="shared" ref="F14:G14" si="48">if(ISBLANK($C14), "", F$1)</f>
        <v>fa-solid fa-globe</v>
      </c>
      <c r="G14" s="29" t="str">
        <f t="shared" si="48"/>
        <v>Spatial domains</v>
      </c>
      <c r="H14" s="29" t="str">
        <f>HLOOKUP(H$1,google_form!$1:$196,$A14,FALSE)</f>
        <v>Regional, Coastal ocean, Surface</v>
      </c>
      <c r="I14" s="29" t="str">
        <f t="shared" ref="I14:J14" si="49">if(ISBLANK($C14), "", I$1)</f>
        <v>fa-solid fa-hourglass-start</v>
      </c>
      <c r="J14" s="29" t="str">
        <f t="shared" si="49"/>
        <v>Temporal resolution</v>
      </c>
      <c r="K14" s="29" t="str">
        <f>HLOOKUP(K$1,google_form!$1:$196,$A14,FALSE)</f>
        <v>irregular, bi-monthly</v>
      </c>
      <c r="L14" s="29" t="str">
        <f t="shared" ref="L14:M14" si="50">if(ISBLANK($C14), "", L$1)</f>
        <v>fa-solid fa-ruler-horizontal</v>
      </c>
      <c r="M14" s="29" t="str">
        <f t="shared" si="50"/>
        <v>Spatial resolution</v>
      </c>
      <c r="N14" s="34" t="str">
        <f>HLOOKUP(N$1,google_form!$1:$196,$A14,FALSE)</f>
        <v/>
      </c>
      <c r="O14" s="29" t="str">
        <f t="shared" ref="O14:P14" si="51">if(ISBLANK($C14), "", O$1)</f>
        <v>fa-solid fa-calendar-days</v>
      </c>
      <c r="P14" s="29" t="str">
        <f t="shared" si="51"/>
        <v>Period</v>
      </c>
      <c r="Q14" s="29" t="str">
        <f>HLOOKUP(Q$1,google_form!$1:$196,$A14,FALSE)</f>
        <v/>
      </c>
      <c r="R14" s="29" t="str">
        <f>HLOOKUP(R$1,google_form!$1:$196,$A14,FALSE)</f>
        <v>Temporal trends of DIC, TA, pCO2, pH, Ωarag, in different areas of the Florida Keys</v>
      </c>
      <c r="S14" s="29" t="str">
        <f>HLOOKUP(S$1,google_form!$1:$196,$A14,FALSE)</f>
        <v>Palacio-Castro et al. (2023)</v>
      </c>
      <c r="T14" s="33" t="str">
        <f>HLOOKUP(T$1,google_form!$1:$196,$A14,FALSE)</f>
        <v>https://doi.org/10.1029/2023GB007789</v>
      </c>
      <c r="U14" s="33" t="str">
        <f>HLOOKUP(U$1,google_form!$1:$196,$A14,FALSE)</f>
        <v>https://www.ncei.noaa.gov/access/metadata/landing-page/bin/iso?id=gov.noaa.nodc:NCRMP-CO3-Atlantic</v>
      </c>
      <c r="V14" s="29" t="str">
        <f t="shared" si="10"/>
        <v>Description</v>
      </c>
      <c r="W14" s="29" t="str">
        <f>HLOOKUP(W$1,google_form!$1:$196,$A14,FALSE)</f>
        <v>Analysis of discrete seawater samples compiled from 38 permanent stations located along 10 inshore-offshore transects at the Florida Coral Reef. These samples were collected as part of NOAA's National Coral Reef Monitoring Program (NCRMP) and the South Florida Ecosystem Restoration Research (SFER) cruises.  The time-series analysis provides insight into the dynamic carbonate conditions spanning the inshore to offshore gradients, encompassing four distinct regions of the Florida Coral Reef: Biscayne Bay, the Upper Keys, Middle Keys, and Lower Keys.</v>
      </c>
      <c r="X14" s="29" t="str">
        <f t="shared" si="11"/>
        <v>Reference</v>
      </c>
      <c r="Y14" s="29" t="str">
        <f>HLOOKUP(Y$1,google_form!$1:$196,$A14,FALSE)</f>
        <v>Palacio-Castro, A. M., Enochs, I. C., Besemer, N., Boyd, A., Jankulak, M., Kolodziej, G., et al. (2023). Coral reef carbonate chemistry reveals interannual, seasonal, and spatial impacts on ocean acidification off Florida. Global Biogeochemical Cycles, 37, e2023GB007789. https://doi.org/10.1029/2023GB007789</v>
      </c>
    </row>
    <row r="15">
      <c r="A15" s="29">
        <v>14.0</v>
      </c>
      <c r="B15" s="29" t="str">
        <f>HLOOKUP(B$1,google_form!$1:$216,$A15,FALSE)</f>
        <v>Data compilations</v>
      </c>
      <c r="C15" s="29" t="str">
        <f>HLOOKUP(C$1,google_form!$1:$216,$A15,FALSE)</f>
        <v>Salish Cruise Data Package</v>
      </c>
      <c r="D15" s="29" t="str">
        <f>HLOOKUP(D$1,google_form!$1:$216,$A15,FALSE)</f>
        <v>Alin et al. (2025a)</v>
      </c>
      <c r="E15" s="33" t="str">
        <f>HLOOKUP(E$1,google_form!$1:$216,$A15,FALSE)</f>
        <v>https://essd.copernicus.org/articles/16/837/2024/essd-16-837-2024-avatar-web.png</v>
      </c>
      <c r="F15" s="29" t="str">
        <f t="shared" ref="F15:G15" si="52">if(ISBLANK($C15), "", F$1)</f>
        <v>fa-solid fa-globe</v>
      </c>
      <c r="G15" s="29" t="str">
        <f t="shared" si="52"/>
        <v>Spatial domains</v>
      </c>
      <c r="H15" s="29" t="str">
        <f>HLOOKUP(H$1,google_form!$1:$196,$A15,FALSE)</f>
        <v>Coastal ocean, Estuaries, Water column</v>
      </c>
      <c r="I15" s="29" t="str">
        <f t="shared" ref="I15:J15" si="53">if(ISBLANK($C15), "", I$1)</f>
        <v>fa-solid fa-hourglass-start</v>
      </c>
      <c r="J15" s="29" t="str">
        <f t="shared" si="53"/>
        <v>Temporal resolution</v>
      </c>
      <c r="K15" s="29" t="str">
        <f>HLOOKUP(K$1,google_form!$1:$196,$A15,FALSE)</f>
        <v>seasonal, discrete, continuous</v>
      </c>
      <c r="L15" s="29" t="str">
        <f t="shared" ref="L15:M15" si="54">if(ISBLANK($C15), "", L$1)</f>
        <v>fa-solid fa-ruler-horizontal</v>
      </c>
      <c r="M15" s="29" t="str">
        <f t="shared" si="54"/>
        <v>Spatial resolution</v>
      </c>
      <c r="N15" s="34" t="str">
        <f>HLOOKUP(N$1,google_form!$1:$196,$A15,FALSE)</f>
        <v/>
      </c>
      <c r="O15" s="29" t="str">
        <f t="shared" ref="O15:P15" si="55">if(ISBLANK($C15), "", O$1)</f>
        <v>fa-solid fa-calendar-days</v>
      </c>
      <c r="P15" s="29" t="str">
        <f t="shared" si="55"/>
        <v>Period</v>
      </c>
      <c r="Q15" s="29" t="str">
        <f>HLOOKUP(Q$1,google_form!$1:$196,$A15,FALSE)</f>
        <v>2008–2024</v>
      </c>
      <c r="R15" s="29" t="str">
        <f>HLOOKUP(R$1,google_form!$1:$196,$A15,FALSE)</f>
        <v>A QCed compilation of cruise datasets from 2008 to 2024 in the southern Salish Sea and northern Washington coast. </v>
      </c>
      <c r="S15" s="29" t="str">
        <f>HLOOKUP(S$1,google_form!$1:$196,$A15,FALSE)</f>
        <v>Alin et al. (2025a)</v>
      </c>
      <c r="T15" s="33" t="str">
        <f>HLOOKUP(T$1,google_form!$1:$196,$A15,FALSE)</f>
        <v>https://doi.org/10.5194/essd-16-837-2024</v>
      </c>
      <c r="U15" s="33" t="str">
        <f>HLOOKUP(U$1,google_form!$1:$196,$A15,FALSE)</f>
        <v>https://www.ncei.noaa.gov/access/ocean-carbon-acidification-data-system/oceans/SalishCruise_DataPackage.html</v>
      </c>
      <c r="V15" s="29" t="str">
        <f t="shared" si="10"/>
        <v>Description</v>
      </c>
      <c r="W15" s="29" t="str">
        <f>HLOOKUP(W$1,google_form!$1:$196,$A15,FALSE)</f>
        <v>Alin et al. (2025a) compiled data from 61 individual cruise data sets that sampled marine waters of the southern Salish Sea and northern Washington coast (United States) from 2008 to 2024. Ongoing seasonal sampling occurred during April, July, and September for Puget Sound cruises has occurred since 2014 and most frequently during May and October for Sound-to-Sea cruises, which sample from Puget Sound through the Strait of Juan de Fuca to the northern Washington coast. The Salish cruise data package contains observations from a oceanographic water column profiles, with CTD sensor measurements of temperature, salinity, and oxygen; as well as discrete measurements of oxygen, nutrient, and inorganic carbonate content. </v>
      </c>
      <c r="X15" s="29" t="str">
        <f t="shared" si="11"/>
        <v>Reference</v>
      </c>
      <c r="Y15" s="29" t="str">
        <f>HLOOKUP(Y$1,google_form!$1:$196,$A15,FALSE)</f>
        <v>Alin, S.R., J.A. Newton, R.A. Feely, B. Curry, D. Greeley, J. Herndon, and M. Warner (2024a). A decade-long cruise time-series (2008–2018) of physical and biogeochemical conditions in the southern Salish Sea, North America. Earth System Science Data, 16, 837–865, https://doi.org/10.5194/essd-16-837-2024</v>
      </c>
    </row>
    <row r="16">
      <c r="A16" s="29">
        <v>15.0</v>
      </c>
      <c r="B16" s="29" t="str">
        <f>HLOOKUP(B$1,google_form!$1:$216,$A16,FALSE)</f>
        <v>Data compilations</v>
      </c>
      <c r="C16" s="29" t="str">
        <f>HLOOKUP(C$1,google_form!$1:$216,$A16,FALSE)</f>
        <v>Salish Cruise Multi-stressor Data Product</v>
      </c>
      <c r="D16" s="29" t="str">
        <f>HLOOKUP(D$1,google_form!$1:$216,$A16,FALSE)</f>
        <v>Alin et al. (2025b)</v>
      </c>
      <c r="E16" s="33" t="str">
        <f>HLOOKUP(E$1,google_form!$1:$216,$A16,FALSE)</f>
        <v>https://bg.copernicus.org/articles/21/1639/2024/bg-21-1639-2024-avatar-web.png</v>
      </c>
      <c r="F16" s="29" t="str">
        <f t="shared" ref="F16:G16" si="56">if(ISBLANK($C16), "", F$1)</f>
        <v>fa-solid fa-globe</v>
      </c>
      <c r="G16" s="29" t="str">
        <f t="shared" si="56"/>
        <v>Spatial domains</v>
      </c>
      <c r="H16" s="29" t="str">
        <f>HLOOKUP(H$1,google_form!$1:$196,$A16,FALSE)</f>
        <v>Coastal ocean, Estuaries, Water column</v>
      </c>
      <c r="I16" s="29" t="str">
        <f t="shared" ref="I16:J16" si="57">if(ISBLANK($C16), "", I$1)</f>
        <v>fa-solid fa-hourglass-start</v>
      </c>
      <c r="J16" s="29" t="str">
        <f t="shared" si="57"/>
        <v>Temporal resolution</v>
      </c>
      <c r="K16" s="29" t="str">
        <f>HLOOKUP(K$1,google_form!$1:$196,$A16,FALSE)</f>
        <v>seasonal, discrete, continuous</v>
      </c>
      <c r="L16" s="29" t="str">
        <f t="shared" ref="L16:M16" si="58">if(ISBLANK($C16), "", L$1)</f>
        <v>fa-solid fa-ruler-horizontal</v>
      </c>
      <c r="M16" s="29" t="str">
        <f t="shared" si="58"/>
        <v>Spatial resolution</v>
      </c>
      <c r="N16" s="34" t="str">
        <f>HLOOKUP(N$1,google_form!$1:$196,$A16,FALSE)</f>
        <v/>
      </c>
      <c r="O16" s="29" t="str">
        <f t="shared" ref="O16:P16" si="59">if(ISBLANK($C16), "", O$1)</f>
        <v>fa-solid fa-calendar-days</v>
      </c>
      <c r="P16" s="29" t="str">
        <f t="shared" si="59"/>
        <v>Period</v>
      </c>
      <c r="Q16" s="29" t="str">
        <f>HLOOKUP(Q$1,google_form!$1:$196,$A16,FALSE)</f>
        <v>2008–2024</v>
      </c>
      <c r="R16" s="29" t="str">
        <f>HLOOKUP(R$1,google_form!$1:$196,$A16,FALSE)</f>
        <v>A multi-stressor (ocean acidification, hypoxia, marine heatwaves) data product based on cruises from 2008 to 2024 in the southern Salish Sea and northern Washington coast (USA). </v>
      </c>
      <c r="S16" s="29" t="str">
        <f>HLOOKUP(S$1,google_form!$1:$196,$A16,FALSE)</f>
        <v>Alin et al. (2025b)</v>
      </c>
      <c r="T16" s="33" t="str">
        <f>HLOOKUP(T$1,google_form!$1:$196,$A16,FALSE)</f>
        <v>https://doi.org/10.5194/bg-21-1639-2024</v>
      </c>
      <c r="U16" s="33" t="str">
        <f>HLOOKUP(U$1,google_form!$1:$196,$A16,FALSE)</f>
        <v>https://www.ncei.noaa.gov/access/ocean-carbon-acidification-data-system/oceans/SalishCruises_DataProduct.html</v>
      </c>
      <c r="V16" s="29" t="str">
        <f t="shared" si="10"/>
        <v>Description</v>
      </c>
      <c r="W16" s="29" t="str">
        <f>HLOOKUP(W$1,google_form!$1:$196,$A16,FALSE)</f>
        <v>Alin et al. (2025b) provides a data product including all finalized records from the Salish cruise data package that had a complete suite of measurements for CTD temperature, salinity, and oxygen, as well as discrete measurements of oxygen, nutrients, dissolved inorganic carbon, and total akalinity. This product also provides the most commonly used calculated carbonate system variables--pH (on the total scale), carbon dioxide fugacity (fCO2) and partial , Ωarag, and Ωcalc--to facilitate their use by a broader group of end users.</v>
      </c>
      <c r="X16" s="29" t="str">
        <f t="shared" si="11"/>
        <v>Reference</v>
      </c>
      <c r="Y16" s="29" t="str">
        <f>HLOOKUP(Y$1,google_form!$1:$196,$A16,FALSE)</f>
        <v>Alin, S.R., J.A. Newton, R.A. Feely, S. Siedlecki, and D. Greeley (2024b). Seasonality and response of ocean acidification and hypoxia to major environmental anomalies in the southern Salish Sea, North America (2014–2018). Biogeosciences, 21, 1639–1673, https://doi.org/10.5194/bg-21-1639-2024</v>
      </c>
    </row>
    <row r="17">
      <c r="A17" s="29">
        <v>16.0</v>
      </c>
      <c r="B17" s="29" t="str">
        <f>HLOOKUP(B$1,google_form!$1:$216,$A17,FALSE)</f>
        <v>Data compilations</v>
      </c>
      <c r="C17" s="29" t="str">
        <f>HLOOKUP(C$1,google_form!$1:$216,$A17,FALSE)</f>
        <v>Line P Marine Carbonate Chemistry Compilation</v>
      </c>
      <c r="D17" s="29" t="str">
        <f>HLOOKUP(D$1,google_form!$1:$216,$A17,FALSE)</f>
        <v>Franco et al., (2021)</v>
      </c>
      <c r="E17" s="33" t="str">
        <f>HLOOKUP(E$1,google_form!$1:$216,$A17,FALSE)</f>
        <v>https://i.ibb.co/4wb5JLp1/fig1-map-francoetal2021.png</v>
      </c>
      <c r="F17" s="29" t="str">
        <f t="shared" ref="F17:G17" si="60">if(ISBLANK($C17), "", F$1)</f>
        <v>fa-solid fa-globe</v>
      </c>
      <c r="G17" s="29" t="str">
        <f t="shared" si="60"/>
        <v>Spatial domains</v>
      </c>
      <c r="H17" s="29" t="str">
        <f>HLOOKUP(H$1,google_form!$1:$196,$A17,FALSE)</f>
        <v>Open ocean, Water column, Regional</v>
      </c>
      <c r="I17" s="29" t="str">
        <f t="shared" ref="I17:J17" si="61">if(ISBLANK($C17), "", I$1)</f>
        <v>fa-solid fa-hourglass-start</v>
      </c>
      <c r="J17" s="29" t="str">
        <f t="shared" si="61"/>
        <v>Temporal resolution</v>
      </c>
      <c r="K17" s="29" t="str">
        <f>HLOOKUP(K$1,google_form!$1:$196,$A17,FALSE)</f>
        <v>irregular, sub-annual, discrete</v>
      </c>
      <c r="L17" s="29" t="str">
        <f t="shared" ref="L17:M17" si="62">if(ISBLANK($C17), "", L$1)</f>
        <v>fa-solid fa-ruler-horizontal</v>
      </c>
      <c r="M17" s="29" t="str">
        <f t="shared" si="62"/>
        <v>Spatial resolution</v>
      </c>
      <c r="N17" s="34" t="str">
        <f>HLOOKUP(N$1,google_form!$1:$196,$A17,FALSE)</f>
        <v/>
      </c>
      <c r="O17" s="29" t="str">
        <f t="shared" ref="O17:P17" si="63">if(ISBLANK($C17), "", O$1)</f>
        <v>fa-solid fa-calendar-days</v>
      </c>
      <c r="P17" s="29" t="str">
        <f t="shared" si="63"/>
        <v>Period</v>
      </c>
      <c r="Q17" s="29" t="str">
        <f>HLOOKUP(Q$1,google_form!$1:$196,$A17,FALSE)</f>
        <v>1990 - 2019</v>
      </c>
      <c r="R17" s="29" t="str">
        <f>HLOOKUP(R$1,google_form!$1:$196,$A17,FALSE)</f>
        <v>A compilation of fifty-five Line P cruises containing discrete DIC and TA profiles at five stations in the Northeast Pacific Ocean. Sampled approximately three times per year from 1990 to 2019</v>
      </c>
      <c r="S17" s="29" t="str">
        <f>HLOOKUP(S$1,google_form!$1:$196,$A17,FALSE)</f>
        <v>Franco et al., (2021)</v>
      </c>
      <c r="T17" s="33" t="str">
        <f>HLOOKUP(T$1,google_form!$1:$196,$A17,FALSE)</f>
        <v>https://doi.org/10.1029/2020GB006829</v>
      </c>
      <c r="U17" s="33" t="str">
        <f>HLOOKUP(U$1,google_form!$1:$196,$A17,FALSE)</f>
        <v>https://www.ncei.noaa.gov/data/oceans/ncei/ocads/metadata/0234342.html</v>
      </c>
      <c r="V17" s="29" t="str">
        <f t="shared" si="10"/>
        <v>Description</v>
      </c>
      <c r="W17" s="29" t="str">
        <f>HLOOKUP(W$1,google_form!$1:$196,$A17,FALSE)</f>
        <v>This dataset contains marine carbonate system measurements collected during 55 Line P cruises from 1990 to 2019 in the subarctic Northeast Pacific. The dataset contains quality-controlled, discrete profiles of dissolved inorganic carbon (DIC), total alkalinity (TA), temperature, salinity, dissolved oxygen and nutrients. From a total of 27 hydrographic time-series stations, only the five major stations where DIC and TA are routinely sampled were included in this compilation. Cruises were conducted approximately three times per year, typically in February, May/June and August/September. Each vertical profile was individually inspected and contrasted with the whole pool of data relative to salinity, density, and oxygen to detect and flag poor quality data following the World Ocean Circulation Experiment (WOCE) quality control convention. The recommended cruise-specific adjustments from the Pacific Ocean Interior Carbon (PACIFICA) data synthesis were applied. The Line P carbonate chemistry timeseries is maintained by Fisheries and Oceans Canada and continues to the present day. Data are available and continuously updated in the Line P repository, which can be publicly accessed after generating an account at https://waterproperties.ca. </v>
      </c>
      <c r="X17" s="29" t="str">
        <f t="shared" si="11"/>
        <v>Reference</v>
      </c>
      <c r="Y17" s="29" t="str">
        <f>HLOOKUP(Y$1,google_form!$1:$196,$A17,FALSE)</f>
        <v>Franco, A. C., Ianson, D., Ross, T., Hamme, R. C., Monahan, A. H., Christian, J. R., Davelaar, M., Johnson, W. K., Miller, L. A., Robert, M., and Tortell, P. D. 2021. Anthropogenic and climatic contributions to observed carbon system trends in the northeast Pacific. Global Biogeochemical Cycles, 35(7). https://doi.org/10.1029/2020GB006829</v>
      </c>
    </row>
    <row r="18">
      <c r="A18" s="29">
        <v>17.0</v>
      </c>
      <c r="B18" s="29" t="str">
        <f>HLOOKUP(B$1,google_form!$1:$216,$A18,FALSE)</f>
        <v>Data compilations</v>
      </c>
      <c r="C18" s="29" t="str">
        <f>HLOOKUP(C$1,google_form!$1:$216,$A18,FALSE)</f>
        <v>Anthropogenic Carbon in the Arctic Ocean</v>
      </c>
      <c r="D18" s="29" t="str">
        <f>HLOOKUP(D$1,google_form!$1:$216,$A18,FALSE)</f>
        <v>Terhaar et al. (2020)</v>
      </c>
      <c r="E18" s="33" t="str">
        <f>HLOOKUP(E$1,google_form!$1:$216,$A18,FALSE)</f>
        <v>https://www.seanoe.org/data/00927/103920/illustration.gif</v>
      </c>
      <c r="F18" s="29" t="str">
        <f t="shared" ref="F18:G18" si="64">if(ISBLANK($C18), "", F$1)</f>
        <v>fa-solid fa-globe</v>
      </c>
      <c r="G18" s="29" t="str">
        <f t="shared" si="64"/>
        <v>Spatial domains</v>
      </c>
      <c r="H18" s="29" t="str">
        <f>HLOOKUP(H$1,google_form!$1:$196,$A18,FALSE)</f>
        <v>Open ocean</v>
      </c>
      <c r="I18" s="29" t="str">
        <f t="shared" ref="I18:J18" si="65">if(ISBLANK($C18), "", I$1)</f>
        <v>fa-solid fa-hourglass-start</v>
      </c>
      <c r="J18" s="29" t="str">
        <f t="shared" si="65"/>
        <v>Temporal resolution</v>
      </c>
      <c r="K18" s="29" t="str">
        <f>HLOOKUP(K$1,google_form!$1:$196,$A18,FALSE)</f>
        <v>climatology</v>
      </c>
      <c r="L18" s="29" t="str">
        <f t="shared" ref="L18:M18" si="66">if(ISBLANK($C18), "", L$1)</f>
        <v>fa-solid fa-ruler-horizontal</v>
      </c>
      <c r="M18" s="29" t="str">
        <f t="shared" si="66"/>
        <v>Spatial resolution</v>
      </c>
      <c r="N18" s="34" t="str">
        <f>HLOOKUP(N$1,google_form!$1:$196,$A18,FALSE)</f>
        <v/>
      </c>
      <c r="O18" s="29" t="str">
        <f t="shared" ref="O18:P18" si="67">if(ISBLANK($C18), "", O$1)</f>
        <v>fa-solid fa-calendar-days</v>
      </c>
      <c r="P18" s="29" t="str">
        <f t="shared" si="67"/>
        <v>Period</v>
      </c>
      <c r="Q18" s="29" t="str">
        <f>HLOOKUP(Q$1,google_form!$1:$196,$A18,FALSE)</f>
        <v>2005</v>
      </c>
      <c r="R18" s="29" t="str">
        <f>HLOOKUP(R$1,google_form!$1:$196,$A18,FALSE)</f>
        <v>Observation-based estimates of anthropogenic carbon in the Arctic Ocean</v>
      </c>
      <c r="S18" s="29" t="str">
        <f>HLOOKUP(S$1,google_form!$1:$196,$A18,FALSE)</f>
        <v>Terhaar et al. (2020)</v>
      </c>
      <c r="T18" s="33" t="str">
        <f>HLOOKUP(T$1,google_form!$1:$196,$A18,FALSE)</f>
        <v>https://doi.org/10.1029/2020jc016124</v>
      </c>
      <c r="U18" s="33" t="str">
        <f>HLOOKUP(U$1,google_form!$1:$196,$A18,FALSE)</f>
        <v>https://www.seanoe.org/data/00927/103920/</v>
      </c>
      <c r="V18" s="29" t="str">
        <f t="shared" si="10"/>
        <v>Description</v>
      </c>
      <c r="W18" s="29" t="str">
        <f>HLOOKUP(W$1,google_form!$1:$196,$A18,FALSE)</f>
        <v>This dataset includes anthropogenic carbon estimates in the Arctic Ocean based on measurements of transient tracers, such as CFC-12 and SF6 (Terhaar et al., 2020; Tanhua et al., 2009). Using the transient time distribution (TTD) method, anthropogenic carbon estimates were estimated at measurement locations across all basins of the Arctic Ocean between 1983 and 2005. In addition to these estimates, adjusted estimates of anthropogenic carbon at these locations are provided to account for differences in the saturation of transient tracers and anthropogenic carbon in Arctic Ocean surface waters that caused anthropogenic carbon estimates to be biased low (Terhaar et al., 2020). It is recommended to use the adjusted estimates. This dataset can be accessed at https://doi.org/10.17882/103920 (Terhaar et al., 2024).   </v>
      </c>
      <c r="X18" s="29" t="str">
        <f t="shared" si="11"/>
        <v>Reference</v>
      </c>
      <c r="Y18" s="29" t="str">
        <f>HLOOKUP(Y$1,google_form!$1:$196,$A18,FALSE)</f>
        <v>Terhaar, J., Tanhua, T., Stöven, T., Orr, J. C., and Bopp, L.: Evaluation of data‐based estimates of anthropogenic carbon in the Arctic Ocean, Journal of Geophysical Research: Oceans, 125(6), https://doi.org/10.1029/2020jc016124, 2020.</v>
      </c>
    </row>
    <row r="19">
      <c r="A19" s="29">
        <v>18.0</v>
      </c>
      <c r="B19" s="29" t="str">
        <f>HLOOKUP(B$1,google_form!$1:$216,$A19,FALSE)</f>
        <v>Time series</v>
      </c>
      <c r="C19" s="29" t="str">
        <f>HLOOKUP(C$1,google_form!$1:$216,$A19,FALSE)</f>
        <v>BATS</v>
      </c>
      <c r="D19" s="29" t="str">
        <f>HLOOKUP(D$1,google_form!$1:$216,$A19,FALSE)</f>
        <v>Bates and Johnson (2023)</v>
      </c>
      <c r="E19" s="33" t="str">
        <f>HLOOKUP(E$1,google_form!$1:$216,$A19,FALSE)</f>
        <v>https://www.frontiersin.org/files/Articles/1289931/fmars-10-1289931-HTML-r1/image_m/fmars-10-1289931-g001.jpg</v>
      </c>
      <c r="F19" s="29" t="str">
        <f t="shared" ref="F19:G19" si="68">if(ISBLANK($C19), "", F$1)</f>
        <v>fa-solid fa-globe</v>
      </c>
      <c r="G19" s="29" t="str">
        <f t="shared" si="68"/>
        <v>Spatial domains</v>
      </c>
      <c r="H19" s="29" t="str">
        <f>HLOOKUP(H$1,google_form!$1:$196,$A19,FALSE)</f>
        <v>Open ocean</v>
      </c>
      <c r="I19" s="29" t="str">
        <f t="shared" ref="I19:J19" si="69">if(ISBLANK($C19), "", I$1)</f>
        <v>fa-solid fa-hourglass-start</v>
      </c>
      <c r="J19" s="29" t="str">
        <f t="shared" si="69"/>
        <v>Temporal resolution</v>
      </c>
      <c r="K19" s="29" t="str">
        <f>HLOOKUP(K$1,google_form!$1:$196,$A19,FALSE)</f>
        <v>monthly</v>
      </c>
      <c r="L19" s="29" t="str">
        <f t="shared" ref="L19:M19" si="70">if(ISBLANK($C19), "", L$1)</f>
        <v>fa-solid fa-ruler-horizontal</v>
      </c>
      <c r="M19" s="29" t="str">
        <f t="shared" si="70"/>
        <v>Spatial resolution</v>
      </c>
      <c r="N19" s="34" t="str">
        <f>HLOOKUP(N$1,google_form!$1:$196,$A19,FALSE)</f>
        <v/>
      </c>
      <c r="O19" s="29" t="str">
        <f t="shared" ref="O19:P19" si="71">if(ISBLANK($C19), "", O$1)</f>
        <v>fa-solid fa-calendar-days</v>
      </c>
      <c r="P19" s="29" t="str">
        <f t="shared" si="71"/>
        <v>Period</v>
      </c>
      <c r="Q19" s="29" t="str">
        <f>HLOOKUP(Q$1,google_form!$1:$196,$A19,FALSE)</f>
        <v>1988-2025</v>
      </c>
      <c r="R19" s="29" t="str">
        <f>HLOOKUP(R$1,google_form!$1:$196,$A19,FALSE)</f>
        <v>Forty years of ocean acidification observations (1983-2023) in the Sargasso Sea at the Bermuda Atlantic Time-series Study (BATS) site. </v>
      </c>
      <c r="S19" s="29" t="str">
        <f>HLOOKUP(S$1,google_form!$1:$196,$A19,FALSE)</f>
        <v>Bates and Johnson (2023)</v>
      </c>
      <c r="T19" s="33" t="str">
        <f>HLOOKUP(T$1,google_form!$1:$196,$A19,FALSE)</f>
        <v>https://doi.org/10.3389/fmars.2023.1289931</v>
      </c>
      <c r="U19" s="33" t="str">
        <f>HLOOKUP(U$1,google_form!$1:$196,$A19,FALSE)</f>
        <v>https://www.bco-dmo.org/project/2124</v>
      </c>
      <c r="V19" s="29" t="str">
        <f t="shared" si="10"/>
        <v>Description</v>
      </c>
      <c r="W19" s="29" t="str">
        <f>HLOOKUP(W$1,google_form!$1:$196,$A19,FALSE)</f>
        <v>Ocean physical and biogeochemical conditions are rapidly changing over time. Forty years of observations from 1983 to 2023 collected at the Bermuda Atlantic Time-series Study (BATS) site near Bermuda in the North Atlantic Ocean shows continuing trends of surface warming, increase in salinity, loss of dissolved oxygen (DO), increase in carbon dioxide (CO2), and ocean acidification (OA) effects. Over this period, the ocean has warmed by about +1°C, increased in salinity by +0.136, and lost DO by 12.5 µmol kg−1 or ~6%. Since the 1980s, ocean dissolved inorganic carbon (DIC), total alkalinity (TA), a tracer of anthropogenic CO2 (CTrOCA), and fugacities/partial pressures of CO2 (i.e., fCO2 and pCO2) have continued to increase substantially, with no evidence of a reduction in the rates of change over time. Contemporaneously, ocean pH has decreased by ~0.1 pH units [with ocean acidity (i.e., H+) increasing by &gt;30%], and the saturation states of calcium carbonate minerals (Ωcalcite and Ωaragonite) have decreased. These OA indicators show that the chemical conditions for calcification have become less favorable over the past 40 years. Updating of data and trends at the BATS site show how ocean chemistry of the 2020s is now outside the range observed in the 1980s, and how essential these data are for predicting the response of ocean chemistry and marine ecosystems to future shifting earth and ocean conditions.</v>
      </c>
      <c r="X19" s="29" t="str">
        <f t="shared" si="11"/>
        <v>Reference</v>
      </c>
      <c r="Y19" s="29" t="str">
        <f>HLOOKUP(Y$1,google_form!$1:$196,$A19,FALSE)</f>
        <v>Bates, N., Johnson, R. J., Lomas, M. W., Smith, D., Lethaby, P. J., Bakker, R., Davey, E., Derbyshire, L., Enright, M., Garley, R., Hayden, M. G., Lomas, D., May, R., Medley, C., Stuart, E., Chambers, E. (2025) Discrete bottle samples collected at the Bermuda Atlantic Time-series Study (BATS) site in the Sargasso Sea from October 1988 through December 2024. Biological and Chemical Oceanography Data Management Office (BCO-DMO). (Version 8) Version Date 2025-06-27 [if applicable, indicate subset used]. doi:10.26008/1912/bco-dmo.3782.8 [access date];&lt;/br&gt;&lt;/br&gt;Bates, N., and Johnson, R.J., 2023. Forty years of ocean acidification observations (1983-2023) in the Sargasso Sea at the Bermuda Atlantic Time-series Study (BATS) site. Frontiers in Marine Science, 10, https://doi.org/10.3389/fmars.2023.1289931.</v>
      </c>
    </row>
    <row r="20">
      <c r="A20" s="29">
        <v>19.0</v>
      </c>
      <c r="B20" s="29" t="str">
        <f>HLOOKUP(B$1,google_form!$1:$216,$A20,FALSE)</f>
        <v>Time series</v>
      </c>
      <c r="C20" s="29" t="str">
        <f>HLOOKUP(C$1,google_form!$1:$216,$A20,FALSE)</f>
        <v>HOT</v>
      </c>
      <c r="D20" s="29" t="str">
        <f>HLOOKUP(D$1,google_form!$1:$216,$A20,FALSE)</f>
        <v>Dore et al. (2009)</v>
      </c>
      <c r="E20" s="33" t="str">
        <f>HLOOKUP(E$1,google_form!$1:$216,$A20,FALSE)</f>
        <v>https://i.ibb.co/B2vPqjyw/HOTlogo.jpg</v>
      </c>
      <c r="F20" s="29" t="str">
        <f t="shared" ref="F20:G20" si="72">if(ISBLANK($C20), "", F$1)</f>
        <v>fa-solid fa-globe</v>
      </c>
      <c r="G20" s="29" t="str">
        <f t="shared" si="72"/>
        <v>Spatial domains</v>
      </c>
      <c r="H20" s="29" t="str">
        <f>HLOOKUP(H$1,google_form!$1:$196,$A20,FALSE)</f>
        <v>Open ocean, Water column</v>
      </c>
      <c r="I20" s="29" t="str">
        <f t="shared" ref="I20:J20" si="73">if(ISBLANK($C20), "", I$1)</f>
        <v>fa-solid fa-hourglass-start</v>
      </c>
      <c r="J20" s="29" t="str">
        <f t="shared" si="73"/>
        <v>Temporal resolution</v>
      </c>
      <c r="K20" s="29" t="str">
        <f>HLOOKUP(K$1,google_form!$1:$196,$A20,FALSE)</f>
        <v>monthly</v>
      </c>
      <c r="L20" s="29" t="str">
        <f t="shared" ref="L20:M20" si="74">if(ISBLANK($C20), "", L$1)</f>
        <v>fa-solid fa-ruler-horizontal</v>
      </c>
      <c r="M20" s="29" t="str">
        <f t="shared" si="74"/>
        <v>Spatial resolution</v>
      </c>
      <c r="N20" s="34" t="str">
        <f>HLOOKUP(N$1,google_form!$1:$196,$A20,FALSE)</f>
        <v/>
      </c>
      <c r="O20" s="29" t="str">
        <f t="shared" ref="O20:P20" si="75">if(ISBLANK($C20), "", O$1)</f>
        <v>fa-solid fa-calendar-days</v>
      </c>
      <c r="P20" s="29" t="str">
        <f t="shared" si="75"/>
        <v>Period</v>
      </c>
      <c r="Q20" s="29" t="str">
        <f>HLOOKUP(Q$1,google_form!$1:$196,$A20,FALSE)</f>
        <v>1988-2025</v>
      </c>
      <c r="R20" s="29" t="str">
        <f>HLOOKUP(R$1,google_form!$1:$196,$A20,FALSE)</f>
        <v>35+ years of inorganic carbon dynamics in the open waters of the central North Pacific</v>
      </c>
      <c r="S20" s="29" t="str">
        <f>HLOOKUP(S$1,google_form!$1:$196,$A20,FALSE)</f>
        <v>Dore et al. (2009)</v>
      </c>
      <c r="T20" s="33" t="str">
        <f>HLOOKUP(T$1,google_form!$1:$196,$A20,FALSE)</f>
        <v>https://doi.org/10.1073/pnas.0906044106</v>
      </c>
      <c r="U20" s="33" t="str">
        <f>HLOOKUP(U$1,google_form!$1:$196,$A20,FALSE)</f>
        <v>https://doi.org/10.1575/1912/bco-dmo.3773.1</v>
      </c>
      <c r="V20" s="29" t="str">
        <f t="shared" si="10"/>
        <v>Description</v>
      </c>
      <c r="W20" s="29" t="str">
        <f>HLOOKUP(W$1,google_form!$1:$196,$A20,FALSE)</f>
        <v>The Hawaii Ocean Time-series (HOT) CO2 measurement program documents 35+ years of inorganic carbon dynamics in the open waters of the central North Pacific. Since October 1988, full ocean depth profiles of DIC and TA have been analyzed, and direct measurements of pH have been made over most of this longest-running Pacific Ocean time-series study. The program is based on shipboard observations and experiments conducted on ~10 expeditions per annum to Station ALOHA (22.75°N, 158°W).</v>
      </c>
      <c r="X20" s="29" t="str">
        <f t="shared" si="11"/>
        <v>Reference</v>
      </c>
      <c r="Y20" s="29" t="str">
        <f>HLOOKUP(Y$1,google_form!$1:$196,$A20,FALSE)</f>
        <v>Dore, J. E., Lukas, R., Sadler, D. W., Church, M. J., and Karl, D. M.: Physical and biogeochemical modulation of ocean acidification in the central North Pacific, Proc. Natl. Acad. Sci., 106, 12235-12240, https://doi.org/10.1073/pnas.0906044106, 2009.</v>
      </c>
    </row>
    <row r="21">
      <c r="A21" s="29">
        <v>20.0</v>
      </c>
      <c r="B21" s="29" t="str">
        <f>HLOOKUP(B$1,google_form!$1:$216,$A21,FALSE)</f>
        <v>Time series</v>
      </c>
      <c r="C21" s="29" t="str">
        <f>HLOOKUP(C$1,google_form!$1:$216,$A21,FALSE)</f>
        <v>ESTOC</v>
      </c>
      <c r="D21" s="29" t="str">
        <f>HLOOKUP(D$1,google_form!$1:$216,$A21,FALSE)</f>
        <v>González-Dávila and Santana-Casiano (2023)</v>
      </c>
      <c r="E21" s="33" t="str">
        <f>HLOOKUP(E$1,google_form!$1:$216,$A21,FALSE)</f>
        <v>https://www.frontiersin.org/files/Articles/1236214/fmars-10-1236214-HTML-r1/image_m/fmars-10-1236214-g001.jpg</v>
      </c>
      <c r="F21" s="29" t="str">
        <f t="shared" ref="F21:G21" si="76">if(ISBLANK($C21), "", F$1)</f>
        <v>fa-solid fa-globe</v>
      </c>
      <c r="G21" s="29" t="str">
        <f t="shared" si="76"/>
        <v>Spatial domains</v>
      </c>
      <c r="H21" s="29" t="str">
        <f>HLOOKUP(H$1,google_form!$1:$196,$A21,FALSE)</f>
        <v>Open ocean</v>
      </c>
      <c r="I21" s="29" t="str">
        <f t="shared" ref="I21:J21" si="77">if(ISBLANK($C21), "", I$1)</f>
        <v>fa-solid fa-hourglass-start</v>
      </c>
      <c r="J21" s="29" t="str">
        <f t="shared" si="77"/>
        <v>Temporal resolution</v>
      </c>
      <c r="K21" s="29" t="str">
        <f>HLOOKUP(K$1,google_form!$1:$196,$A21,FALSE)</f>
        <v>irregular</v>
      </c>
      <c r="L21" s="29" t="str">
        <f t="shared" ref="L21:M21" si="78">if(ISBLANK($C21), "", L$1)</f>
        <v>fa-solid fa-ruler-horizontal</v>
      </c>
      <c r="M21" s="29" t="str">
        <f t="shared" si="78"/>
        <v>Spatial resolution</v>
      </c>
      <c r="N21" s="34" t="str">
        <f>HLOOKUP(N$1,google_form!$1:$196,$A21,FALSE)</f>
        <v/>
      </c>
      <c r="O21" s="29" t="str">
        <f t="shared" ref="O21:P21" si="79">if(ISBLANK($C21), "", O$1)</f>
        <v>fa-solid fa-calendar-days</v>
      </c>
      <c r="P21" s="29" t="str">
        <f t="shared" si="79"/>
        <v>Period</v>
      </c>
      <c r="Q21" s="29" t="str">
        <f>HLOOKUP(Q$1,google_form!$1:$196,$A21,FALSE)</f>
        <v/>
      </c>
      <c r="R21" s="29" t="str">
        <f>HLOOKUP(R$1,google_form!$1:$196,$A21,FALSE)</f>
        <v>The longest continuous monthly record of warming, rising carbon dioxide levels, and OA in the eastern North Atlantic</v>
      </c>
      <c r="S21" s="29" t="str">
        <f>HLOOKUP(S$1,google_form!$1:$196,$A21,FALSE)</f>
        <v>González-Dávila and Santana-Casiano (2023)</v>
      </c>
      <c r="T21" s="33" t="str">
        <f>HLOOKUP(T$1,google_form!$1:$196,$A21,FALSE)</f>
        <v>https://doi.org/10.3389/fmars.2023.1236214</v>
      </c>
      <c r="U21" s="33" t="str">
        <f>HLOOKUP(U$1,google_form!$1:$196,$A21,FALSE)</f>
        <v>https://doi.org/10.1594/PANGAEA.959856</v>
      </c>
      <c r="V21" s="29" t="str">
        <f t="shared" si="10"/>
        <v>Description</v>
      </c>
      <c r="W21" s="29" t="str">
        <f>HLOOKUP(W$1,google_form!$1:$196,$A21,FALSE)</f>
        <v>The European Station for Time-series in the Ocean (ESTOC) began carbon dioxide monitoring in October 1995, providing a 30-year record on DIC, TA, and pH. This dataset represents the longest continuous monthly record of warming, rising carbon dioxide levels, and acidification in the eastern North Atlantic (González-Dávila and Santana-Casiano, 2023). ESTOC is located 100 km north of the Canary Islands archipelago (https://plocan.eu/en/installations/ocean-observatory). The program includes a ship-based observation system, measuring physical, chemical, and biological variables throughout the 3,670-meter water column. It also features a moored platform for surface meteorological and oceanic observations as well as subsurface measurements, maintained by the Canary Island Oceanic Platform (PLOCAN, https://plocan.eu/en) and the University of Las Palmas de Gran Canaria (https://iocag.ulpgc.es/research/research-units/quima). Carbonate system measurements include full-depth bottle sampling for photometric pH, TA, and DIC, conducted monthly from 1995 to 2008, every two months until 2018, and semiannually in recent years due to limited ship time, timed to coincide with moored structure maintenance. ESTOC is also visited every two weeks by a volunteer observing ship, ES-SOOP-CanOA (https://meta.icos-cp.eu/resources/stations/OS_687B), part of the European Research Infrastructure ICOS (https://www.icos-cp.eu/observations/ocean/stations), which provides real-time surface data on carbon dioxide fluxes and OA. The program also includes the CO2-ESTOC oceanographic buoy (https://meta.icos-cp.eu/labeling/). </v>
      </c>
      <c r="X21" s="29" t="str">
        <f t="shared" si="11"/>
        <v>Reference</v>
      </c>
      <c r="Y21" s="29" t="str">
        <f>HLOOKUP(Y$1,google_form!$1:$196,$A21,FALSE)</f>
        <v>González-Dávila, M. and Santana-Casiano J. M.: Long-term trends of pH and inorganic carbon in the Eastern North Atlantic: the ESTOC site, Front. Mar. Sci., 10, 1236214, https://doi.org/10.3389/fmars.2023.1236214, 2023.</v>
      </c>
    </row>
    <row r="22">
      <c r="A22" s="29">
        <v>21.0</v>
      </c>
      <c r="B22" s="29" t="str">
        <f>HLOOKUP(B$1,google_form!$1:$216,$A22,FALSE)</f>
        <v>Time series</v>
      </c>
      <c r="C22" s="29" t="str">
        <f>HLOOKUP(C$1,google_form!$1:$216,$A22,FALSE)</f>
        <v>Point B Time-series</v>
      </c>
      <c r="D22" s="29" t="str">
        <f>HLOOKUP(D$1,google_form!$1:$216,$A22,FALSE)</f>
        <v>Kapsenberg et al. (2017)</v>
      </c>
      <c r="E22" s="33" t="str">
        <f>HLOOKUP(E$1,google_form!$1:$216,$A22,FALSE)</f>
        <v>https://i.ibb.co/8gK4B2BP/Point-B.png</v>
      </c>
      <c r="F22" s="29" t="str">
        <f t="shared" ref="F22:G22" si="80">if(ISBLANK($C22), "", F$1)</f>
        <v>fa-solid fa-globe</v>
      </c>
      <c r="G22" s="29" t="str">
        <f t="shared" si="80"/>
        <v>Spatial domains</v>
      </c>
      <c r="H22" s="29" t="str">
        <f>HLOOKUP(H$1,google_form!$1:$196,$A22,FALSE)</f>
        <v>Coastal ocean</v>
      </c>
      <c r="I22" s="29" t="str">
        <f t="shared" ref="I22:J22" si="81">if(ISBLANK($C22), "", I$1)</f>
        <v>fa-solid fa-hourglass-start</v>
      </c>
      <c r="J22" s="29" t="str">
        <f t="shared" si="81"/>
        <v>Temporal resolution</v>
      </c>
      <c r="K22" s="29" t="str">
        <f>HLOOKUP(K$1,google_form!$1:$196,$A22,FALSE)</f>
        <v>discrete</v>
      </c>
      <c r="L22" s="29" t="str">
        <f t="shared" ref="L22:M22" si="82">if(ISBLANK($C22), "", L$1)</f>
        <v>fa-solid fa-ruler-horizontal</v>
      </c>
      <c r="M22" s="29" t="str">
        <f t="shared" si="82"/>
        <v>Spatial resolution</v>
      </c>
      <c r="N22" s="34" t="str">
        <f>HLOOKUP(N$1,google_form!$1:$196,$A22,FALSE)</f>
        <v/>
      </c>
      <c r="O22" s="29" t="str">
        <f t="shared" ref="O22:P22" si="83">if(ISBLANK($C22), "", O$1)</f>
        <v>fa-solid fa-calendar-days</v>
      </c>
      <c r="P22" s="29" t="str">
        <f t="shared" si="83"/>
        <v>Period</v>
      </c>
      <c r="Q22" s="29" t="str">
        <f>HLOOKUP(Q$1,google_form!$1:$196,$A22,FALSE)</f>
        <v/>
      </c>
      <c r="R22" s="29" t="str">
        <f>HLOOKUP(R$1,google_form!$1:$196,$A22,FALSE)</f>
        <v>Carbonate chemistry at a coastal site of the Bay of Villefranche, France</v>
      </c>
      <c r="S22" s="29" t="str">
        <f>HLOOKUP(S$1,google_form!$1:$196,$A22,FALSE)</f>
        <v>Kapsenberg et al. (2017)</v>
      </c>
      <c r="T22" s="33" t="str">
        <f>HLOOKUP(T$1,google_form!$1:$196,$A22,FALSE)</f>
        <v>https://doi.org/10.5194/os-13-411-2017</v>
      </c>
      <c r="U22" s="33" t="str">
        <f>HLOOKUP(U$1,google_form!$1:$196,$A22,FALSE)</f>
        <v>https://doi.org/10.1594/PANGAEA.727120 </v>
      </c>
      <c r="V22" s="29" t="str">
        <f t="shared" si="10"/>
        <v>Description</v>
      </c>
      <c r="W22" s="29" t="str">
        <f>HLOOKUP(W$1,google_form!$1:$196,$A22,FALSE)</f>
        <v>The Point B Time-series documents the carbonate chemistry at a coastal site of the Bay of Villefranche (43.686200N 7.314800E) in Villefranche-sur-mer, France, northwestern Mediterranean Sea. Since January 2007, seawater is sampled weekly at 1 and 50 m, and analyzed for DIC and TA. Salinity and temperature are extracted from CTD profiles. Variables of the carbonate system such as pH (total scale) are calculated using the R package seacarb. </v>
      </c>
      <c r="X22" s="29" t="str">
        <f t="shared" si="11"/>
        <v>Reference</v>
      </c>
      <c r="Y22" s="29" t="str">
        <f>HLOOKUP(Y$1,google_form!$1:$196,$A22,FALSE)</f>
        <v>Kapsenberg, L., Alliouane, S., Gazeau, F., Mousseau, L., and Gattuso, J.-P.: Coastal ocean acidification and increasing total alkalinity in the northwestern Mediterranean Sea, Ocean Sci., 13, 411–426, https://doi.org/10.5194/os-13-411-2017, 2017.  </v>
      </c>
    </row>
    <row r="23">
      <c r="A23" s="29">
        <v>22.0</v>
      </c>
      <c r="B23" s="29" t="str">
        <f>HLOOKUP(B$1,google_form!$1:$216,$A23,FALSE)</f>
        <v>Time series</v>
      </c>
      <c r="C23" s="29" t="str">
        <f>HLOOKUP(C$1,google_form!$1:$216,$A23,FALSE)</f>
        <v>Ny-Ålesund Time-series</v>
      </c>
      <c r="D23" s="29" t="str">
        <f>HLOOKUP(D$1,google_form!$1:$216,$A23,FALSE)</f>
        <v>Gattuso et al. (2023)</v>
      </c>
      <c r="E23" s="33" t="str">
        <f>HLOOKUP(E$1,google_form!$1:$216,$A23,FALSE)</f>
        <v>https://essd.copernicus.org/articles/15/2809/2023/essd-15-2809-2023-avatar-web.png</v>
      </c>
      <c r="F23" s="29" t="str">
        <f t="shared" ref="F23:G23" si="84">if(ISBLANK($C23), "", F$1)</f>
        <v>fa-solid fa-globe</v>
      </c>
      <c r="G23" s="29" t="str">
        <f t="shared" si="84"/>
        <v>Spatial domains</v>
      </c>
      <c r="H23" s="29" t="str">
        <f>HLOOKUP(H$1,google_form!$1:$196,$A23,FALSE)</f>
        <v>Coastal ocean</v>
      </c>
      <c r="I23" s="29" t="str">
        <f t="shared" ref="I23:J23" si="85">if(ISBLANK($C23), "", I$1)</f>
        <v>fa-solid fa-hourglass-start</v>
      </c>
      <c r="J23" s="29" t="str">
        <f t="shared" si="85"/>
        <v>Temporal resolution</v>
      </c>
      <c r="K23" s="29" t="str">
        <f>HLOOKUP(K$1,google_form!$1:$196,$A23,FALSE)</f>
        <v>continuous, discrete</v>
      </c>
      <c r="L23" s="29" t="str">
        <f t="shared" ref="L23:M23" si="86">if(ISBLANK($C23), "", L$1)</f>
        <v>fa-solid fa-ruler-horizontal</v>
      </c>
      <c r="M23" s="29" t="str">
        <f t="shared" si="86"/>
        <v>Spatial resolution</v>
      </c>
      <c r="N23" s="34" t="str">
        <f>HLOOKUP(N$1,google_form!$1:$196,$A23,FALSE)</f>
        <v/>
      </c>
      <c r="O23" s="29" t="str">
        <f t="shared" ref="O23:P23" si="87">if(ISBLANK($C23), "", O$1)</f>
        <v>fa-solid fa-calendar-days</v>
      </c>
      <c r="P23" s="29" t="str">
        <f t="shared" si="87"/>
        <v>Period</v>
      </c>
      <c r="Q23" s="29" t="str">
        <f>HLOOKUP(Q$1,google_form!$1:$196,$A23,FALSE)</f>
        <v/>
      </c>
      <c r="R23" s="29" t="str">
        <f>HLOOKUP(R$1,google_form!$1:$196,$A23,FALSE)</f>
        <v>Carbonate chemistry at a coastal site of Kongsfjorden, Spitsbergen</v>
      </c>
      <c r="S23" s="29" t="str">
        <f>HLOOKUP(S$1,google_form!$1:$196,$A23,FALSE)</f>
        <v>Gattuso et al. (2023)</v>
      </c>
      <c r="T23" s="33" t="str">
        <f>HLOOKUP(T$1,google_form!$1:$196,$A23,FALSE)</f>
        <v>https://doi.org/10.5194/essd-15-2809-2023</v>
      </c>
      <c r="U23" s="33" t="str">
        <f>HLOOKUP(U$1,google_form!$1:$196,$A23,FALSE)</f>
        <v>https://doi.org//10.1594/PANGAEA.957028</v>
      </c>
      <c r="V23" s="29" t="str">
        <f t="shared" si="10"/>
        <v>Description</v>
      </c>
      <c r="W23" s="29" t="str">
        <f>HLOOKUP(W$1,google_form!$1:$196,$A23,FALSE)</f>
        <v>The Ny-Ålesund Time-series documents the carbonate chemistry at a coastal site of Kongsfjorden, Spitsbergen (78.930660N 11.920030E) during the period 2015-2021. It is the first high-frequency (1 hour), multi-year (6 years) dataset of salinity, temperature, pCO2, pH, as well as calculated DIC and TA in the High-Arctic Ocean (Gattuso et al., 2023). </v>
      </c>
      <c r="X23" s="29" t="str">
        <f t="shared" si="11"/>
        <v>Reference</v>
      </c>
      <c r="Y23" s="29" t="str">
        <f>HLOOKUP(Y$1,google_form!$1:$196,$A23,FALSE)</f>
        <v>Gattuso, J.-P., Alliouane, S., and Fischer, P.: High-frequency, year-round time series of the carbonate chemistry in a high-Arctic fjord (Svalbard), Earth Syst. Sci. Data, 15, 2809–2825, https://doi.org/10.5194/essd-15-2809-2023, 2023. </v>
      </c>
    </row>
    <row r="24">
      <c r="A24" s="29">
        <v>23.0</v>
      </c>
      <c r="B24" s="29" t="str">
        <f>HLOOKUP(B$1,google_form!$1:$216,$A24,FALSE)</f>
        <v>Time series</v>
      </c>
      <c r="C24" s="29" t="str">
        <f>HLOOKUP(C$1,google_form!$1:$216,$A24,FALSE)</f>
        <v>SPOTS</v>
      </c>
      <c r="D24" s="29" t="str">
        <f>HLOOKUP(D$1,google_form!$1:$216,$A24,FALSE)</f>
        <v>Lange et al., (2024)</v>
      </c>
      <c r="E24" s="33" t="str">
        <f>HLOOKUP(E$1,google_form!$1:$216,$A24,FALSE)</f>
        <v>https://i.ibb.co/qYM6NNbv/Logo.png</v>
      </c>
      <c r="F24" s="29" t="str">
        <f t="shared" ref="F24:G24" si="88">if(ISBLANK($C24), "", F$1)</f>
        <v>fa-solid fa-globe</v>
      </c>
      <c r="G24" s="29" t="str">
        <f t="shared" si="88"/>
        <v>Spatial domains</v>
      </c>
      <c r="H24" s="29" t="str">
        <f>HLOOKUP(H$1,google_form!$1:$196,$A24,FALSE)</f>
        <v>Open ocean, Coastal ocean, Water column</v>
      </c>
      <c r="I24" s="29" t="str">
        <f t="shared" ref="I24:J24" si="89">if(ISBLANK($C24), "", I$1)</f>
        <v>fa-solid fa-hourglass-start</v>
      </c>
      <c r="J24" s="29" t="str">
        <f t="shared" si="89"/>
        <v>Temporal resolution</v>
      </c>
      <c r="K24" s="29" t="str">
        <f>HLOOKUP(K$1,google_form!$1:$196,$A24,FALSE)</f>
        <v>irregular</v>
      </c>
      <c r="L24" s="29" t="str">
        <f t="shared" ref="L24:M24" si="90">if(ISBLANK($C24), "", L$1)</f>
        <v>fa-solid fa-ruler-horizontal</v>
      </c>
      <c r="M24" s="29" t="str">
        <f t="shared" si="90"/>
        <v>Spatial resolution</v>
      </c>
      <c r="N24" s="34" t="str">
        <f>HLOOKUP(N$1,google_form!$1:$196,$A24,FALSE)</f>
        <v/>
      </c>
      <c r="O24" s="29" t="str">
        <f t="shared" ref="O24:P24" si="91">if(ISBLANK($C24), "", O$1)</f>
        <v>fa-solid fa-calendar-days</v>
      </c>
      <c r="P24" s="29" t="str">
        <f t="shared" si="91"/>
        <v>Period</v>
      </c>
      <c r="Q24" s="29" t="str">
        <f>HLOOKUP(Q$1,google_form!$1:$196,$A24,FALSE)</f>
        <v>1983 - 2021</v>
      </c>
      <c r="R24" s="29" t="str">
        <f>HLOOKUP(R$1,google_form!$1:$196,$A24,FALSE)</f>
        <v>The pilot includes biogeochemical data from 12 fixed ship-based time-series programs</v>
      </c>
      <c r="S24" s="29" t="str">
        <f>HLOOKUP(S$1,google_form!$1:$196,$A24,FALSE)</f>
        <v>Lange et al., (2024)</v>
      </c>
      <c r="T24" s="33" t="str">
        <f>HLOOKUP(T$1,google_form!$1:$196,$A24,FALSE)</f>
        <v>https://doi.org/10.5194/essd-16-1901-2024</v>
      </c>
      <c r="U24" s="33" t="str">
        <f>HLOOKUP(U$1,google_form!$1:$196,$A24,FALSE)</f>
        <v>https://www.bco-dmo.org/dataset/896862</v>
      </c>
      <c r="V24" s="29" t="str">
        <f t="shared" si="10"/>
        <v>Description</v>
      </c>
      <c r="W24" s="29" t="str">
        <f>HLOOKUP(W$1,google_form!$1:$196,$A24,FALSE)</f>
        <v>The Synthesis Product for Ocean Time-Series (SPOTS) is a ship-based biogeochemical pilot, aiming at regularly providing high quality data from fixed time-series stations with consistent format and semantics (Lange et al., 2024a). The pilot includes data from 12 fixed ship-based time-series programs with a focus on the Global Ocean Observing System’s biogeochemical essential ocean variables. These stations represent unique marine environments across a variety of spatiotemporal resolutions and ranges, with data from 1983 to 2021.</v>
      </c>
      <c r="X24" s="29" t="str">
        <f t="shared" si="11"/>
        <v>Reference</v>
      </c>
      <c r="Y24" s="29" t="str">
        <f>HLOOKUP(Y$1,google_form!$1:$196,$A24,FALSE)</f>
        <v>Lange, N., Fiedler, B., Álvarez, M., Benoit-Cattin, A., Benway, H., Buttigieg, P. L., Coppola, L., Currie, K., Flecha, S., Gerlach, D. S., Honda, M., Huertas, I. E., Lauvset, S. K., Muller-Karger, F., Körtzinger, A., O'Brien, K. M., Ólafsdóttir, S. R., Pacheco, F. C., Rueda-Roa, D., Skjelvan, I., Wakita, M., White, A., and Tanhua, T.: Synthesis Product for Ocean Time Series (SPOTS) – a ship-based biogeochemical pilot, Earth Syst. Sci. Data, 16, 1901–1931, https://doi.org/10.5194/essd-16-1901-2024, 2024.</v>
      </c>
    </row>
    <row r="25">
      <c r="A25" s="29">
        <v>24.0</v>
      </c>
      <c r="B25" s="29" t="str">
        <f>HLOOKUP(B$1,google_form!$1:$216,$A25,FALSE)</f>
        <v>Time series</v>
      </c>
      <c r="C25" s="29" t="str">
        <f>HLOOKUP(C$1,google_form!$1:$216,$A25,FALSE)</f>
        <v>pCO2 and pH Time-series from 40 Surface Buoys</v>
      </c>
      <c r="D25" s="29" t="str">
        <f>HLOOKUP(D$1,google_form!$1:$216,$A25,FALSE)</f>
        <v>Sutton et al. (2019)</v>
      </c>
      <c r="E25" s="33" t="str">
        <f>HLOOKUP(E$1,google_form!$1:$216,$A25,FALSE)</f>
        <v>https://essd.copernicus.org/articles/11/421/2019/essd-11-421-2019-avatar-web.png</v>
      </c>
      <c r="F25" s="29" t="str">
        <f t="shared" ref="F25:G25" si="92">if(ISBLANK($C25), "", F$1)</f>
        <v>fa-solid fa-globe</v>
      </c>
      <c r="G25" s="29" t="str">
        <f t="shared" si="92"/>
        <v>Spatial domains</v>
      </c>
      <c r="H25" s="29" t="str">
        <f>HLOOKUP(H$1,google_form!$1:$196,$A25,FALSE)</f>
        <v>Open ocean, Coastal ocean, Surface</v>
      </c>
      <c r="I25" s="29" t="str">
        <f t="shared" ref="I25:J25" si="93">if(ISBLANK($C25), "", I$1)</f>
        <v>fa-solid fa-hourglass-start</v>
      </c>
      <c r="J25" s="29" t="str">
        <f t="shared" si="93"/>
        <v>Temporal resolution</v>
      </c>
      <c r="K25" s="29" t="str">
        <f>HLOOKUP(K$1,google_form!$1:$196,$A25,FALSE)</f>
        <v>continuous</v>
      </c>
      <c r="L25" s="29" t="str">
        <f t="shared" ref="L25:M25" si="94">if(ISBLANK($C25), "", L$1)</f>
        <v>fa-solid fa-ruler-horizontal</v>
      </c>
      <c r="M25" s="29" t="str">
        <f t="shared" si="94"/>
        <v>Spatial resolution</v>
      </c>
      <c r="N25" s="34" t="str">
        <f>HLOOKUP(N$1,google_form!$1:$196,$A25,FALSE)</f>
        <v/>
      </c>
      <c r="O25" s="29" t="str">
        <f t="shared" ref="O25:P25" si="95">if(ISBLANK($C25), "", O$1)</f>
        <v>fa-solid fa-calendar-days</v>
      </c>
      <c r="P25" s="29" t="str">
        <f t="shared" si="95"/>
        <v>Period</v>
      </c>
      <c r="Q25" s="29" t="str">
        <f>HLOOKUP(Q$1,google_form!$1:$196,$A25,FALSE)</f>
        <v/>
      </c>
      <c r="R25" s="29" t="str">
        <f>HLOOKUP(R$1,google_form!$1:$196,$A25,FALSE)</f>
        <v>Based on 40 moored surface pCO2 time-series, with 17 of them containing pH</v>
      </c>
      <c r="S25" s="29" t="str">
        <f>HLOOKUP(S$1,google_form!$1:$196,$A25,FALSE)</f>
        <v>Sutton et al. (2019)</v>
      </c>
      <c r="T25" s="33" t="str">
        <f>HLOOKUP(T$1,google_form!$1:$196,$A25,FALSE)</f>
        <v>https://doi.org/10.5194/essd-11-421-2019</v>
      </c>
      <c r="U25" s="33" t="str">
        <f>HLOOKUP(U$1,google_form!$1:$196,$A25,FALSE)</f>
        <v>https://www.ncei.noaa.gov/access/ocean-carbon-acidification-data-system/oceans/Moorings/ndp097.html</v>
      </c>
      <c r="V25" s="29" t="str">
        <f t="shared" si="10"/>
        <v>Description</v>
      </c>
      <c r="W25" s="29" t="str">
        <f>HLOOKUP(W$1,google_form!$1:$196,$A25,FALSE)</f>
        <v>Sutton et al. (2019) established a living dataset comprising 40 individual autonomous moored surface ocean pCO2 time-series established between 2004 and 2013, 17 of them also include autonomous pH measurements. These time-series characterize a wide range of surface ocean carbonate system conditions, across a variety of environments, including 17 oceanic and 13 coastal locations, as well as 10 coral reefs. </v>
      </c>
      <c r="X25" s="29" t="str">
        <f t="shared" si="11"/>
        <v>Reference</v>
      </c>
      <c r="Y25" s="29" t="str">
        <f>HLOOKUP(Y$1,google_form!$1:$196,$A25,FALSE)</f>
        <v>Sutton, A. J., Feely, R. A., Maenner-Jones, S., Musielwicz, S., Osborne, J., Dietrich, C., Monacci, N., Cross, J., Bott, R., Kozyr, A., Andersson, A. J., Bates, N. R., Cai, W.-J., Cronin, M. F., De Carlo, E. H., Hales, B., Howden, S. D., Lee, C. M., Manzello, D. P., McPhaden, M. J., Meléndez, M., Mickett, J. B., Newton, J. A., Noakes, S. E., Noh, J. H., Olafsdottir, S. R., Salisbury, J. E., Send, U., Trull, T. W., Vandemark, D. C., and Weller, R. A.: Autonomous seawater pCO2 and pH time series from 40 surface buoys and the emergence of anthropogenic trends, Earth Syst. Sci. Data, 11, 421–439, https://doi.org/10.5194/essd-11-421-2019, 2019.</v>
      </c>
    </row>
    <row r="26">
      <c r="A26" s="29">
        <v>25.0</v>
      </c>
      <c r="B26" s="29" t="str">
        <f>HLOOKUP(B$1,google_form!$1:$216,$A26,FALSE)</f>
        <v>Time series</v>
      </c>
      <c r="C26" s="29" t="str">
        <f>HLOOKUP(C$1,google_form!$1:$216,$A26,FALSE)</f>
        <v>French coastal carbonate time-series</v>
      </c>
      <c r="D26" s="29" t="str">
        <f>HLOOKUP(D$1,google_form!$1:$216,$A26,FALSE)</f>
        <v>Petton et al. (2022)</v>
      </c>
      <c r="E26" s="33" t="str">
        <f>HLOOKUP(E$1,google_form!$1:$216,$A26,FALSE)</f>
        <v>https://i.ibb.co/67Qd9xr3/Fig6-Suivi-Cocori-CO2-p-H.png</v>
      </c>
      <c r="F26" s="29" t="str">
        <f t="shared" ref="F26:G26" si="96">if(ISBLANK($C26), "", F$1)</f>
        <v>fa-solid fa-globe</v>
      </c>
      <c r="G26" s="29" t="str">
        <f t="shared" si="96"/>
        <v>Spatial domains</v>
      </c>
      <c r="H26" s="29" t="str">
        <f>HLOOKUP(H$1,google_form!$1:$196,$A26,FALSE)</f>
        <v>Coastal ocean, Estuaries</v>
      </c>
      <c r="I26" s="29" t="str">
        <f t="shared" ref="I26:J26" si="97">if(ISBLANK($C26), "", I$1)</f>
        <v>fa-solid fa-hourglass-start</v>
      </c>
      <c r="J26" s="29" t="str">
        <f t="shared" si="97"/>
        <v>Temporal resolution</v>
      </c>
      <c r="K26" s="29" t="str">
        <f>HLOOKUP(K$1,google_form!$1:$196,$A26,FALSE)</f>
        <v>daily, monthly, discrete</v>
      </c>
      <c r="L26" s="29" t="str">
        <f t="shared" ref="L26:M26" si="98">if(ISBLANK($C26), "", L$1)</f>
        <v>fa-solid fa-ruler-horizontal</v>
      </c>
      <c r="M26" s="29" t="str">
        <f t="shared" si="98"/>
        <v>Spatial resolution</v>
      </c>
      <c r="N26" s="34" t="str">
        <f>HLOOKUP(N$1,google_form!$1:$196,$A26,FALSE)</f>
        <v/>
      </c>
      <c r="O26" s="29" t="str">
        <f t="shared" ref="O26:P26" si="99">if(ISBLANK($C26), "", O$1)</f>
        <v>fa-solid fa-calendar-days</v>
      </c>
      <c r="P26" s="29" t="str">
        <f t="shared" si="99"/>
        <v>Period</v>
      </c>
      <c r="Q26" s="29" t="str">
        <f>HLOOKUP(Q$1,google_form!$1:$196,$A26,FALSE)</f>
        <v>2021 - 2025</v>
      </c>
      <c r="R26" s="29" t="str">
        <f>HLOOKUP(R$1,google_form!$1:$196,$A26,FALSE)</f>
        <v>High-frequency pH and biweekly carbonate chemistry monitoring at six strategic shellfish production sites along the French Atlantic and Mediterranean coasts.</v>
      </c>
      <c r="S26" s="29" t="str">
        <f>HLOOKUP(S$1,google_form!$1:$196,$A26,FALSE)</f>
        <v>Petton et al. (2022)</v>
      </c>
      <c r="T26" s="33" t="str">
        <f>HLOOKUP(T$1,google_form!$1:$196,$A26,FALSE)</f>
        <v>https://doi.org/10.5194/essd-16-1667-2024</v>
      </c>
      <c r="U26" s="33" t="str">
        <f>HLOOKUP(U$1,google_form!$1:$196,$A26,FALSE)</f>
        <v>https://doi.org/10.17882/96982</v>
      </c>
      <c r="V26" s="29" t="str">
        <f t="shared" si="10"/>
        <v>Description</v>
      </c>
      <c r="W26" s="29" t="str">
        <f>HLOOKUP(W$1,google_form!$1:$196,$A26,FALSE)</f>
        <v>Petton et al. (2023a) present a dataset generated by the CocoriCO2 project, launched in 2021 to monitor acidification across French coastal waters. This network relies on six strategic sites for shellfish farming (Atlantic and Mediterranean), where autonomous sensors record high-frequency pH (every 15 min) alongside biweekly monitoring of total alkalinity and dissolved inorganic carbon. Spanning over two years, these time-series reveal significant variability in the carbonate system driven by freshwater inputs, tides, and biological processes, contrasting with the relative stability of the open ocean.</v>
      </c>
      <c r="X26" s="29" t="str">
        <f t="shared" si="11"/>
        <v>Reference</v>
      </c>
      <c r="Y26" s="29" t="str">
        <f>HLOOKUP(Y$1,google_form!$1:$196,$A26,FALSE)</f>
        <v>Petton, S., Pernet, F., Le Roy, V., Huber, M., Martin, S., Macé, É., Bozec, Y., Loisel, S., Rimmelin-Maury, P., Grossteffan, É., Repecaud, M., Quemener, L., Retho, M., Manac'h, S., Papin, M., Pineau, P., Lacoue-Labarthe, T., Deborde, J., Costes, L., Polsenaere, P., Rigouin, L., Benhamou, J., Gouriou, L., Lequeux, J., Labourdette, N., Savoye, N., Messiaen, G., Foucault, E., Ouisse, V., Richard, M., Lagarde, F., Voron, F., Kempf, V., Mas, S., Giannecchini, L., Vidussi, F., Mostajir, B., Leredde, Y., Alliouane, S., Gattuso, J.-P., and Gazeau, F.: French coastal network for carbonate system monitoring: the CocoriCO2 dataset, Earth Syst. Sci. Data, 16, 1667–1688, https://doi.org/10.5194/essd-16-1667-2024, 2024.</v>
      </c>
    </row>
    <row r="27">
      <c r="A27" s="29">
        <v>26.0</v>
      </c>
      <c r="B27" s="29" t="str">
        <f>HLOOKUP(B$1,google_form!$1:$216,$A27,FALSE)</f>
        <v>Gridded surface</v>
      </c>
      <c r="C27" s="29" t="str">
        <f>HLOOKUP(C$1,google_form!$1:$216,$A27,FALSE)</f>
        <v>Takahashi ΔfCO2 &amp; Flux Climatology</v>
      </c>
      <c r="D27" s="29" t="str">
        <f>HLOOKUP(D$1,google_form!$1:$216,$A27,FALSE)</f>
        <v>Fay et al. (2024)</v>
      </c>
      <c r="E27" s="33" t="str">
        <f>HLOOKUP(E$1,google_form!$1:$216,$A27,FALSE)</f>
        <v>https://essd.copernicus.org/articles/16/2123/2024/essd-16-2123-2024-avatar-web.png</v>
      </c>
      <c r="F27" s="29" t="str">
        <f t="shared" ref="F27:G27" si="100">if(ISBLANK($C27), "", F$1)</f>
        <v>fa-solid fa-globe</v>
      </c>
      <c r="G27" s="29" t="str">
        <f t="shared" si="100"/>
        <v>Spatial domains</v>
      </c>
      <c r="H27" s="29" t="str">
        <f>HLOOKUP(H$1,google_form!$1:$196,$A27,FALSE)</f>
        <v>Open ocean</v>
      </c>
      <c r="I27" s="29" t="str">
        <f t="shared" ref="I27:J27" si="101">if(ISBLANK($C27), "", I$1)</f>
        <v>fa-solid fa-hourglass-start</v>
      </c>
      <c r="J27" s="29" t="str">
        <f t="shared" si="101"/>
        <v>Temporal resolution</v>
      </c>
      <c r="K27" s="29" t="str">
        <f>HLOOKUP(K$1,google_form!$1:$196,$A27,FALSE)</f>
        <v>monthly</v>
      </c>
      <c r="L27" s="29" t="str">
        <f t="shared" ref="L27:M27" si="102">if(ISBLANK($C27), "", L$1)</f>
        <v>fa-solid fa-ruler-horizontal</v>
      </c>
      <c r="M27" s="29" t="str">
        <f t="shared" si="102"/>
        <v>Spatial resolution</v>
      </c>
      <c r="N27" s="34" t="str">
        <f>HLOOKUP(N$1,google_form!$1:$196,$A27,FALSE)</f>
        <v>1° x 1°</v>
      </c>
      <c r="O27" s="29" t="str">
        <f t="shared" ref="O27:P27" si="103">if(ISBLANK($C27), "", O$1)</f>
        <v>fa-solid fa-calendar-days</v>
      </c>
      <c r="P27" s="29" t="str">
        <f t="shared" si="103"/>
        <v>Period</v>
      </c>
      <c r="Q27" s="29" t="str">
        <f>HLOOKUP(Q$1,google_form!$1:$196,$A27,FALSE)</f>
        <v>2010</v>
      </c>
      <c r="R27" s="29" t="str">
        <f>HLOOKUP(R$1,google_form!$1:$196,$A27,FALSE)</f>
        <v>Does not use proxy variables for extrapolation. Only produced as monthly climatology.</v>
      </c>
      <c r="S27" s="29" t="str">
        <f>HLOOKUP(S$1,google_form!$1:$196,$A27,FALSE)</f>
        <v>Fay et al. (2024)</v>
      </c>
      <c r="T27" s="33" t="str">
        <f>HLOOKUP(T$1,google_form!$1:$196,$A27,FALSE)</f>
        <v>https://doi.org/10.5194/essd-16-2123-2024</v>
      </c>
      <c r="U27" s="33" t="str">
        <f>HLOOKUP(U$1,google_form!$1:$196,$A27,FALSE)</f>
        <v>https://doi.org/10.25921/295g-sn13</v>
      </c>
      <c r="V27" s="29" t="str">
        <f t="shared" si="10"/>
        <v>Description</v>
      </c>
      <c r="W27" s="29" t="str">
        <f>HLOOKUP(W$1,google_form!$1:$196,$A27,FALSE)</f>
        <v>Following on previous climatologies published by the late Taro Takahashi in 1997 and 2009, Fay et al. (2024) created a legacy climatology using his methodology and the updated SOCAT database of observations. This product provides 12 months of delta fCO2 values and corresponding fluxes for a base year of 2010 at 4° × 5° resolution subsequently subgridded
to 1° × 1° resolution and near-global coverage. This climatology represents the mean of ocean conditions over the last four decades and is distinctive relative to many other mechanistic machine learning approaches in that it interpolates in time and space using only the available fCO2 data and a surface water advection scheme rather than using proxy variables for gap filling. It uses the median of observations to determine a reference year of 2010 and fluxes are provided using air-sea partial pressure differences and inputs from the SeaFlux product (Fay et al., 2021).</v>
      </c>
      <c r="X27" s="29" t="str">
        <f t="shared" si="11"/>
        <v>Reference</v>
      </c>
      <c r="Y27" s="29" t="str">
        <f>HLOOKUP(Y$1,google_form!$1:$196,$A27,FALSE)</f>
        <v>Fay, A. R., Munro, D. R., McKinley, G. A., Pierrot, D., Sutherland, S. C., Sweeney, C., and Wanninkhof, R. 2024. Updated climatological mean ΔfCO2 and net sea–air CO2 flux over the global open ocean regions, Earth Syst. Sci. Data, 16, 2123–2139, https://doi.org/10.5194/essd-16-2123-2024.</v>
      </c>
    </row>
    <row r="28">
      <c r="A28" s="29">
        <v>27.0</v>
      </c>
      <c r="B28" s="29" t="str">
        <f>HLOOKUP(B$1,google_form!$1:$216,$A28,FALSE)</f>
        <v>Gridded surface</v>
      </c>
      <c r="C28" s="29" t="str">
        <f>HLOOKUP(C$1,google_form!$1:$216,$A28,FALSE)</f>
        <v>MPI-ULB-SOM-FFN</v>
      </c>
      <c r="D28" s="29" t="str">
        <f>HLOOKUP(D$1,google_form!$1:$216,$A28,FALSE)</f>
        <v>Landschützer et al. (2020) </v>
      </c>
      <c r="E28" s="33" t="str">
        <f>HLOOKUP(E$1,google_form!$1:$216,$A28,FALSE)</f>
        <v>https://essd.copernicus.org/articles/12/2537/2020/essd-12-2537-2020-avatar-web.png</v>
      </c>
      <c r="F28" s="29" t="str">
        <f t="shared" ref="F28:G28" si="104">if(ISBLANK($C28), "", F$1)</f>
        <v>fa-solid fa-globe</v>
      </c>
      <c r="G28" s="29" t="str">
        <f t="shared" si="104"/>
        <v>Spatial domains</v>
      </c>
      <c r="H28" s="29" t="str">
        <f>HLOOKUP(H$1,google_form!$1:$196,$A28,FALSE)</f>
        <v>Open ocean, Coastal ocean, Surface</v>
      </c>
      <c r="I28" s="29" t="str">
        <f t="shared" ref="I28:J28" si="105">if(ISBLANK($C28), "", I$1)</f>
        <v>fa-solid fa-hourglass-start</v>
      </c>
      <c r="J28" s="29" t="str">
        <f t="shared" si="105"/>
        <v>Temporal resolution</v>
      </c>
      <c r="K28" s="29" t="str">
        <f>HLOOKUP(K$1,google_form!$1:$196,$A28,FALSE)</f>
        <v>monthly, climatology</v>
      </c>
      <c r="L28" s="29" t="str">
        <f t="shared" ref="L28:M28" si="106">if(ISBLANK($C28), "", L$1)</f>
        <v>fa-solid fa-ruler-horizontal</v>
      </c>
      <c r="M28" s="29" t="str">
        <f t="shared" si="106"/>
        <v>Spatial resolution</v>
      </c>
      <c r="N28" s="34" t="str">
        <f>HLOOKUP(N$1,google_form!$1:$196,$A28,FALSE)</f>
        <v>0.25° x 0.25°</v>
      </c>
      <c r="O28" s="29" t="str">
        <f t="shared" ref="O28:P28" si="107">if(ISBLANK($C28), "", O$1)</f>
        <v>fa-solid fa-calendar-days</v>
      </c>
      <c r="P28" s="29" t="str">
        <f t="shared" si="107"/>
        <v>Period</v>
      </c>
      <c r="Q28" s="29" t="str">
        <f>HLOOKUP(Q$1,google_form!$1:$196,$A28,FALSE)</f>
        <v/>
      </c>
      <c r="R28" s="29" t="str">
        <f>HLOOKUP(R$1,google_form!$1:$196,$A28,FALSE)</f>
        <v>Monthly gridded pCO2 without adjusting for a specific reference year, high-resolution coastal ocean coverage. </v>
      </c>
      <c r="S28" s="29" t="str">
        <f>HLOOKUP(S$1,google_form!$1:$196,$A28,FALSE)</f>
        <v>Landschützer et al. (2020) </v>
      </c>
      <c r="T28" s="33" t="str">
        <f>HLOOKUP(T$1,google_form!$1:$196,$A28,FALSE)</f>
        <v>https://doi.org/10.5194/essd-12-2537-2020</v>
      </c>
      <c r="U28" s="33" t="str">
        <f>HLOOKUP(U$1,google_form!$1:$196,$A28,FALSE)</f>
        <v>https://www.ncei.noaa.gov/access/ocean-carbon-acidification-data-system/oceans/MPI-ULB-SOM_FFN_clim.html</v>
      </c>
      <c r="V28" s="29" t="str">
        <f t="shared" si="10"/>
        <v>Description</v>
      </c>
      <c r="W28" s="29" t="str">
        <f>HLOOKUP(W$1,google_form!$1:$196,$A28,FALSE)</f>
        <v>Landschützer et al. (2020a) created a uniform pCO2 climatology combining open and coastal oceans. It is a monthly gridded global surface ocean pCO2 data product without adjusting for a specific reference year. Developed on a higher-resolution 0.25° × 0.25° global surface-ocean grid, this product is the result of combining two neural network-based pCO2 products: the open ocean product described below (i.e., Landschützer et al., 2016) and the coastal product created by Laruelle et al. (2017). Consequently, it represents coastal zones better. Data collected between 1998 and 2015 from the SOCAT database (Version 5) were used to create this data product. </v>
      </c>
      <c r="X28" s="29" t="str">
        <f t="shared" si="11"/>
        <v>Reference</v>
      </c>
      <c r="Y28" s="29" t="str">
        <f>HLOOKUP(Y$1,google_form!$1:$196,$A28,FALSE)</f>
        <v>Landschützer, P., Laruelle, G. G., Roobaert, A., and Regnier, P.: A uniform pCO2 climatology combining open and coastal oceans, Earth Syst. Sci. Data, 12, 2537–2553, https://doi.org/10.5194/essd-12-2537-2020, 2020. </v>
      </c>
    </row>
    <row r="29">
      <c r="A29" s="29">
        <v>28.0</v>
      </c>
      <c r="B29" s="29" t="str">
        <f>HLOOKUP(B$1,google_form!$1:$216,$A29,FALSE)</f>
        <v>Gridded surface</v>
      </c>
      <c r="C29" s="29" t="str">
        <f>HLOOKUP(C$1,google_form!$1:$216,$A29,FALSE)</f>
        <v>VLIZ-SOM-FFN</v>
      </c>
      <c r="D29" s="29" t="str">
        <f>HLOOKUP(D$1,google_form!$1:$216,$A29,FALSE)</f>
        <v>Landschützer et al. (2016) </v>
      </c>
      <c r="E29" s="33" t="str">
        <f>HLOOKUP(E$1,google_form!$1:$216,$A29,FALSE)</f>
        <v>https://www.ncei.noaa.gov/data/oceans/archive/arc0105/0160558/8.8/about/0160558_preview.png</v>
      </c>
      <c r="F29" s="29" t="str">
        <f t="shared" ref="F29:G29" si="108">if(ISBLANK($C29), "", F$1)</f>
        <v>fa-solid fa-globe</v>
      </c>
      <c r="G29" s="29" t="str">
        <f t="shared" si="108"/>
        <v>Spatial domains</v>
      </c>
      <c r="H29" s="29" t="str">
        <f>HLOOKUP(H$1,google_form!$1:$196,$A29,FALSE)</f>
        <v>Open ocean</v>
      </c>
      <c r="I29" s="29" t="str">
        <f t="shared" ref="I29:J29" si="109">if(ISBLANK($C29), "", I$1)</f>
        <v>fa-solid fa-hourglass-start</v>
      </c>
      <c r="J29" s="29" t="str">
        <f t="shared" si="109"/>
        <v>Temporal resolution</v>
      </c>
      <c r="K29" s="29" t="str">
        <f>HLOOKUP(K$1,google_form!$1:$196,$A29,FALSE)</f>
        <v>monthly, climatology</v>
      </c>
      <c r="L29" s="29" t="str">
        <f t="shared" ref="L29:M29" si="110">if(ISBLANK($C29), "", L$1)</f>
        <v>fa-solid fa-ruler-horizontal</v>
      </c>
      <c r="M29" s="29" t="str">
        <f t="shared" si="110"/>
        <v>Spatial resolution</v>
      </c>
      <c r="N29" s="34" t="str">
        <f>HLOOKUP(N$1,google_form!$1:$196,$A29,FALSE)</f>
        <v>1° x 1°</v>
      </c>
      <c r="O29" s="29" t="str">
        <f t="shared" ref="O29:P29" si="111">if(ISBLANK($C29), "", O$1)</f>
        <v>fa-solid fa-calendar-days</v>
      </c>
      <c r="P29" s="29" t="str">
        <f t="shared" si="111"/>
        <v>Period</v>
      </c>
      <c r="Q29" s="29" t="str">
        <f>HLOOKUP(Q$1,google_form!$1:$196,$A29,FALSE)</f>
        <v>1982 - 2025</v>
      </c>
      <c r="R29" s="29" t="str">
        <f>HLOOKUP(R$1,google_form!$1:$196,$A29,FALSE)</f>
        <v>Monthly gridded pCO2 from 1982 through near present</v>
      </c>
      <c r="S29" s="29" t="str">
        <f>HLOOKUP(S$1,google_form!$1:$196,$A29,FALSE)</f>
        <v>Landschützer et al. (2016) </v>
      </c>
      <c r="T29" s="33" t="str">
        <f>HLOOKUP(T$1,google_form!$1:$196,$A29,FALSE)</f>
        <v>https://doi.org/10.1002/2015gb005359</v>
      </c>
      <c r="U29" s="33" t="str">
        <f>HLOOKUP(U$1,google_form!$1:$196,$A29,FALSE)</f>
        <v>https://www.ncei.noaa.gov/data/oceans/ncei/ocads/metadata/0160558.html</v>
      </c>
      <c r="V29" s="29" t="str">
        <f t="shared" si="10"/>
        <v>Description</v>
      </c>
      <c r="W29" s="29" t="str">
        <f>HLOOKUP(W$1,google_form!$1:$196,$A29,FALSE)</f>
        <v>Landschützer et al. (2016) employed the Self-Organizing-Map Feed-Forward Network (SOM-FFN) neural network method (Landschützer et al., 2013) to map sea surface pCO2 from SOCAT (see No. 1 above) (Bakker et al., 2014) to generate monthly pCO2 fields on a 1° × 1° global surface ocean grid, covering the period from 1982 to near present. It is based on the gridded pCO2 measurements from SOCAT and is updated regularly. The creation of the pCO2 fields involve a two-step neural network approach, which has been extensively detailed and validated in previous works by Landschützer et al. (2013, 2014, 2016). In the initial step, the global ocean is clustered into biogeochemical provinces, and subsequently, the non-linear relationship between CO2 driver variables and gridded data from SOCAT (Bakker et al., 2016) is reconstructed. Air-sea CO2 fluxes are also computed based on the air-sea pCO2 difference, utilizing a bulk gas transfer formulation as described by Landschützer et al. (2013, 2014, 2016). </v>
      </c>
      <c r="X29" s="29" t="str">
        <f t="shared" si="11"/>
        <v>Reference</v>
      </c>
      <c r="Y29" s="29" t="str">
        <f>HLOOKUP(Y$1,google_form!$1:$196,$A29,FALSE)</f>
        <v>Landschützer, P., Gruber, N., and Bakker, D. C. E.: Decadal variations and trends of the Global Ocean Carbon Sink, Global Biogeochemical Cycles, 30(10), 1396–1417. https://doi.org/10.1002/2015gb005359, 2016. </v>
      </c>
    </row>
    <row r="30">
      <c r="A30" s="29">
        <v>29.0</v>
      </c>
      <c r="B30" s="29" t="str">
        <f>HLOOKUP(B$1,google_form!$1:$216,$A30,FALSE)</f>
        <v>Gridded surface</v>
      </c>
      <c r="C30" s="29" t="str">
        <f>HLOOKUP(C$1,google_form!$1:$216,$A30,FALSE)</f>
        <v>JMA-MLR</v>
      </c>
      <c r="D30" s="29" t="str">
        <f>HLOOKUP(D$1,google_form!$1:$216,$A30,FALSE)</f>
        <v>Iida et al. (2021)</v>
      </c>
      <c r="E30" s="33" t="str">
        <f>HLOOKUP(E$1,google_form!$1:$216,$A30,FALSE)</f>
        <v>https://www.data.jma.go.jp/kaiyou/data/db/mar_env/results/co2_flux/animation/fluxmap_fig/flux_2023MN.png</v>
      </c>
      <c r="F30" s="29" t="str">
        <f t="shared" ref="F30:G30" si="112">if(ISBLANK($C30), "", F$1)</f>
        <v>fa-solid fa-globe</v>
      </c>
      <c r="G30" s="29" t="str">
        <f t="shared" si="112"/>
        <v>Spatial domains</v>
      </c>
      <c r="H30" s="29" t="str">
        <f>HLOOKUP(H$1,google_form!$1:$196,$A30,FALSE)</f>
        <v>Open ocean, Surface</v>
      </c>
      <c r="I30" s="29" t="str">
        <f t="shared" ref="I30:J30" si="113">if(ISBLANK($C30), "", I$1)</f>
        <v>fa-solid fa-hourglass-start</v>
      </c>
      <c r="J30" s="29" t="str">
        <f t="shared" si="113"/>
        <v>Temporal resolution</v>
      </c>
      <c r="K30" s="29" t="str">
        <f>HLOOKUP(K$1,google_form!$1:$196,$A30,FALSE)</f>
        <v>monthly</v>
      </c>
      <c r="L30" s="29" t="str">
        <f t="shared" ref="L30:M30" si="114">if(ISBLANK($C30), "", L$1)</f>
        <v>fa-solid fa-ruler-horizontal</v>
      </c>
      <c r="M30" s="29" t="str">
        <f t="shared" si="114"/>
        <v>Spatial resolution</v>
      </c>
      <c r="N30" s="34" t="str">
        <f>HLOOKUP(N$1,google_form!$1:$196,$A30,FALSE)</f>
        <v>1° x 1°</v>
      </c>
      <c r="O30" s="29" t="str">
        <f t="shared" ref="O30:P30" si="115">if(ISBLANK($C30), "", O$1)</f>
        <v>fa-solid fa-calendar-days</v>
      </c>
      <c r="P30" s="29" t="str">
        <f t="shared" si="115"/>
        <v>Period</v>
      </c>
      <c r="Q30" s="29" t="str">
        <f>HLOOKUP(Q$1,google_form!$1:$196,$A30,FALSE)</f>
        <v>1990-2023</v>
      </c>
      <c r="R30" s="29" t="str">
        <f>HLOOKUP(R$1,google_form!$1:$196,$A30,FALSE)</f>
        <v>Temporal trends of DIC, TA, pCO2, air-sea CO2 flux, pH, and Ωarag.</v>
      </c>
      <c r="S30" s="29" t="str">
        <f>HLOOKUP(S$1,google_form!$1:$196,$A30,FALSE)</f>
        <v>Iida et al. (2021)</v>
      </c>
      <c r="T30" s="33" t="str">
        <f>HLOOKUP(T$1,google_form!$1:$196,$A30,FALSE)</f>
        <v>https://doi.org/10.1007/s10872-020-00571-5</v>
      </c>
      <c r="U30" s="33" t="str">
        <f>HLOOKUP(U$1,google_form!$1:$196,$A30,FALSE)</f>
        <v>https://doi.org/10.1007/s10872-020-00571-5</v>
      </c>
      <c r="V30" s="29" t="str">
        <f t="shared" si="10"/>
        <v>Description</v>
      </c>
      <c r="W30" s="29" t="str">
        <f>HLOOKUP(W$1,google_form!$1:$196,$A30,FALSE)</f>
        <v>Iida et al. (2021) developed a monthly data product for inorganic carbonate variables on a 1° × 1° global surface ocean grid for the period 1993?2018. Variables include DIC, TA, pCO2, sea-air CO2 flux, pH, and Ωarag. They leveraged data products such as SOCAT.v2019 (Bakker et al., 2016) and GLODAPv2.2019 (Olsen et al., 2019), as well as satellite-based variables, including sea-surface dynamic height (SSDH), mixed layer depth (MLD), and chlorophyll-a. The product is updated annually using the latest SOCAT and GLODAPv2 data.</v>
      </c>
      <c r="X30" s="29" t="str">
        <f t="shared" si="11"/>
        <v>Reference</v>
      </c>
      <c r="Y30" s="29" t="str">
        <f>HLOOKUP(Y$1,google_form!$1:$196,$A30,FALSE)</f>
        <v>Iida, Y., Takatani, Y., Kojima, A., and Ishii, M. 2021. Global trends of ocean CO2 sink and ocean acidification: An obsevation-based reconstruction of surface ocean inorganic carbon variables, J. Oceanogr. 77, 323-358, https://doi.org/10.1007/s10872-020-00571-5</v>
      </c>
    </row>
    <row r="31">
      <c r="A31" s="29">
        <v>30.0</v>
      </c>
      <c r="B31" s="29" t="str">
        <f>HLOOKUP(B$1,google_form!$1:$216,$A31,FALSE)</f>
        <v>Gridded surface</v>
      </c>
      <c r="C31" s="29" t="str">
        <f>HLOOKUP(C$1,google_form!$1:$216,$A31,FALSE)</f>
        <v>OceanSODA-ETHZv1</v>
      </c>
      <c r="D31" s="29" t="str">
        <f>HLOOKUP(D$1,google_form!$1:$216,$A31,FALSE)</f>
        <v>Gregor and Gruber (2021)</v>
      </c>
      <c r="E31" s="33" t="str">
        <f>HLOOKUP(E$1,google_form!$1:$216,$A31,FALSE)</f>
        <v>https://essd.copernicus.org/articles/13/777/2021/essd-13-777-2021-avatar-web.png</v>
      </c>
      <c r="F31" s="29" t="str">
        <f t="shared" ref="F31:G31" si="116">if(ISBLANK($C31), "", F$1)</f>
        <v>fa-solid fa-globe</v>
      </c>
      <c r="G31" s="29" t="str">
        <f t="shared" si="116"/>
        <v>Spatial domains</v>
      </c>
      <c r="H31" s="29" t="str">
        <f>HLOOKUP(H$1,google_form!$1:$196,$A31,FALSE)</f>
        <v>Open ocean, Surface</v>
      </c>
      <c r="I31" s="29" t="str">
        <f t="shared" ref="I31:J31" si="117">if(ISBLANK($C31), "", I$1)</f>
        <v>fa-solid fa-hourglass-start</v>
      </c>
      <c r="J31" s="29" t="str">
        <f t="shared" si="117"/>
        <v>Temporal resolution</v>
      </c>
      <c r="K31" s="29" t="str">
        <f>HLOOKUP(K$1,google_form!$1:$196,$A31,FALSE)</f>
        <v>monthly</v>
      </c>
      <c r="L31" s="29" t="str">
        <f t="shared" ref="L31:M31" si="118">if(ISBLANK($C31), "", L$1)</f>
        <v>fa-solid fa-ruler-horizontal</v>
      </c>
      <c r="M31" s="29" t="str">
        <f t="shared" si="118"/>
        <v>Spatial resolution</v>
      </c>
      <c r="N31" s="34" t="str">
        <f>HLOOKUP(N$1,google_form!$1:$196,$A31,FALSE)</f>
        <v>1° x 1°</v>
      </c>
      <c r="O31" s="29" t="str">
        <f t="shared" ref="O31:P31" si="119">if(ISBLANK($C31), "", O$1)</f>
        <v>fa-solid fa-calendar-days</v>
      </c>
      <c r="P31" s="29" t="str">
        <f t="shared" si="119"/>
        <v>Period</v>
      </c>
      <c r="Q31" s="29" t="str">
        <f>HLOOKUP(Q$1,google_form!$1:$196,$A31,FALSE)</f>
        <v>1982 - 2022</v>
      </c>
      <c r="R31" s="29" t="str">
        <f>HLOOKUP(R$1,google_form!$1:$196,$A31,FALSE)</f>
        <v>Temporal trends of DIC, TA, pCO2, pH, Ωarag, and Ωcalc</v>
      </c>
      <c r="S31" s="29" t="str">
        <f>HLOOKUP(S$1,google_form!$1:$196,$A31,FALSE)</f>
        <v>Gregor and Gruber (2021)</v>
      </c>
      <c r="T31" s="33" t="str">
        <f>HLOOKUP(T$1,google_form!$1:$196,$A31,FALSE)</f>
        <v>https://doi.org/10.5194/essd-13-777-2021</v>
      </c>
      <c r="U31" s="33" t="str">
        <f>HLOOKUP(U$1,google_form!$1:$196,$A31,FALSE)</f>
        <v>https://www.ncei.noaa.gov/data/oceans/ncei/ocads/metadata/0220059.html</v>
      </c>
      <c r="V31" s="29" t="str">
        <f t="shared" si="10"/>
        <v>Description</v>
      </c>
      <c r="W31" s="29" t="str">
        <f>HLOOKUP(W$1,google_form!$1:$196,$A31,FALSE)</f>
        <v>A monthly gridded global surface ocean data product for multiple ocean carbonate system variables, including DIC, TA, pCO2, pH (total scale), Ωarag, and Ωcalc (Gregor and Gruber, 2020; Gregor and Gruber, 2021; Gregor and Gruber, 2023; Ma et al., 2023). This dataset is structured on a 1°×1° global surface ocean grid with monthly resolution from 1982–2022, facilitating research on OA over seasonal to decadal scales. The OceanSODA-ETHZ data product was created by extrapolating in time and space the surface ocean observations of fCO2 from SOCATv2022 (Bakker et al., 2016) and TA from GLODAPv2.2022 using the newly developed Geospatial Random Cluster Ensemble Regression (GRaCER) method (Gregor, 2021). TA and pCO2 were then used to calculate the remaining variables of the marine carbonate system with the PyCO2SYS software (Humphreys et al., 2022). Phosphate and silicate from WOA 2018 product were used (Boyer et al., 2018; Garcia et al., 2018a).</v>
      </c>
      <c r="X31" s="29" t="str">
        <f t="shared" si="11"/>
        <v>Reference</v>
      </c>
      <c r="Y31" s="29" t="str">
        <f>HLOOKUP(Y$1,google_form!$1:$196,$A31,FALSE)</f>
        <v>Gregor, L.; Gruber, N. OceanSODA-ETHZ: A Global Gridded Data Set of the Surface Ocean Carbonate System for Seasonal to Decadal Studies of Ocean Acidification. Earth System Science Data 2021, 13 (2), 777–808. https://doi.org/10.5194/essd-13-777-2021.</v>
      </c>
    </row>
    <row r="32">
      <c r="A32" s="29">
        <v>31.0</v>
      </c>
      <c r="B32" s="29" t="str">
        <f>HLOOKUP(B$1,google_form!$1:$216,$A32,FALSE)</f>
        <v>Gridded surface</v>
      </c>
      <c r="C32" s="29" t="str">
        <f>HLOOKUP(C$1,google_form!$1:$216,$A32,FALSE)</f>
        <v>OceanSODA-ETHZv2</v>
      </c>
      <c r="D32" s="29" t="str">
        <f>HLOOKUP(D$1,google_form!$1:$216,$A32,FALSE)</f>
        <v>Gregor et al. (2024)</v>
      </c>
      <c r="E32" s="33" t="str">
        <f>HLOOKUP(E$1,google_form!$1:$216,$A32,FALSE)</f>
        <v>https://i.ibb.co/9mHfTX1H/gbc21584-fig-0007-m.jpg</v>
      </c>
      <c r="F32" s="29" t="str">
        <f t="shared" ref="F32:G32" si="120">if(ISBLANK($C32), "", F$1)</f>
        <v>fa-solid fa-globe</v>
      </c>
      <c r="G32" s="29" t="str">
        <f t="shared" si="120"/>
        <v>Spatial domains</v>
      </c>
      <c r="H32" s="29" t="str">
        <f>HLOOKUP(H$1,google_form!$1:$196,$A32,FALSE)</f>
        <v>Open ocean, Surface</v>
      </c>
      <c r="I32" s="29" t="str">
        <f t="shared" ref="I32:J32" si="121">if(ISBLANK($C32), "", I$1)</f>
        <v>fa-solid fa-hourglass-start</v>
      </c>
      <c r="J32" s="29" t="str">
        <f t="shared" si="121"/>
        <v>Temporal resolution</v>
      </c>
      <c r="K32" s="29" t="str">
        <f>HLOOKUP(K$1,google_form!$1:$196,$A32,FALSE)</f>
        <v>8-day</v>
      </c>
      <c r="L32" s="29" t="str">
        <f t="shared" ref="L32:M32" si="122">if(ISBLANK($C32), "", L$1)</f>
        <v>fa-solid fa-ruler-horizontal</v>
      </c>
      <c r="M32" s="29" t="str">
        <f t="shared" si="122"/>
        <v>Spatial resolution</v>
      </c>
      <c r="N32" s="34" t="str">
        <f>HLOOKUP(N$1,google_form!$1:$196,$A32,FALSE)</f>
        <v>0.25° x 0.25°</v>
      </c>
      <c r="O32" s="29" t="str">
        <f t="shared" ref="O32:P32" si="123">if(ISBLANK($C32), "", O$1)</f>
        <v>fa-solid fa-calendar-days</v>
      </c>
      <c r="P32" s="29" t="str">
        <f t="shared" si="123"/>
        <v>Period</v>
      </c>
      <c r="Q32" s="29" t="str">
        <f>HLOOKUP(Q$1,google_form!$1:$196,$A32,FALSE)</f>
        <v>1982 - 2023</v>
      </c>
      <c r="R32" s="29" t="str">
        <f>HLOOKUP(R$1,google_form!$1:$196,$A32,FALSE)</f>
        <v>Highlighting fine-scale and short-term variability of the ocean carbon sink</v>
      </c>
      <c r="S32" s="29" t="str">
        <f>HLOOKUP(S$1,google_form!$1:$196,$A32,FALSE)</f>
        <v>Gregor et al. (2024)</v>
      </c>
      <c r="T32" s="33" t="str">
        <f>HLOOKUP(T$1,google_form!$1:$196,$A32,FALSE)</f>
        <v>https://doi.org/10.1029/2024GB008127</v>
      </c>
      <c r="U32" s="33" t="str">
        <f>HLOOKUP(U$1,google_form!$1:$196,$A32,FALSE)</f>
        <v>https://zenodo.org/records/11206366</v>
      </c>
      <c r="V32" s="29" t="str">
        <f t="shared" si="10"/>
        <v>Description</v>
      </c>
      <c r="W32" s="29" t="str">
        <f>HLOOKUP(W$1,google_form!$1:$196,$A32,FALSE)</f>
        <v>A surface fCO₂ product with a 0.25° × 0.25° spatial resolution and an 8-day temporal resolution, providing estimates starting from 1982 (Gregor et al., 2024a; Gregor et al., 2024b). The high-resolution outputs are suitable for investigating the shorter- and finer-scale dynamics of surface fCO2. Despite sharing a name with its predecessor, OceanSODA-ETHZv2 does not provide TA estimates and employs a different methodology, as described in the following steps: 1) The atmospheric trend of CO2 is removed by subtracting marine boundary layer CO2 concentrations from SOCAT fCO2 producing a new target ∆*CO2 to reduce the biases at the start and end of the time-series. 2) An 8-day seasonal climatology of ∆*CO2 is estimated using Gradient Boosted Decision Trees (GBDT), which is later used as a predictor. 3) The non-seasonal thermal component is removed from ∆*CO2, resulting in a new target, ∆*CO2nonT. 4) The new target is estimated using a feed-forward neural network, with the GBDT as one of the forcing variables. 5) Steps 4 through to 1 are inverted to arrive at fCO2. 6) Air-sea CO2 fluxes are computed using ERA5 winds.</v>
      </c>
      <c r="X32" s="29" t="str">
        <f t="shared" si="11"/>
        <v>Reference</v>
      </c>
      <c r="Y32" s="29" t="str">
        <f>HLOOKUP(Y$1,google_form!$1:$196,$A32,FALSE)</f>
        <v>Gregor, L.; Shutler, J.; Gruber, N. High-Resolution Variability of the Ocean Carbon Sink. Global Biogeochemical Cycles 2024, 38 (8), e2024GB008127. https://doi.org/10.1029/2024GB008127.</v>
      </c>
    </row>
    <row r="33">
      <c r="A33" s="29">
        <v>32.0</v>
      </c>
      <c r="B33" s="29" t="str">
        <f>HLOOKUP(B$1,google_form!$1:$216,$A33,FALSE)</f>
        <v>Gridded surface</v>
      </c>
      <c r="C33" s="29" t="str">
        <f>HLOOKUP(C$1,google_form!$1:$216,$A33,FALSE)</f>
        <v>LDEO-HPD fCO2</v>
      </c>
      <c r="D33" s="29" t="str">
        <f>HLOOKUP(D$1,google_form!$1:$216,$A33,FALSE)</f>
        <v>Gloege et al. (2022)</v>
      </c>
      <c r="E33" s="33" t="str">
        <f>HLOOKUP(E$1,google_form!$1:$216,$A33,FALSE)</f>
        <v>https://i.ibb.co/pBXT90wP/jame21511-fig-0001-m.jpg</v>
      </c>
      <c r="F33" s="29" t="str">
        <f t="shared" ref="F33:G33" si="124">if(ISBLANK($C33), "", F$1)</f>
        <v>fa-solid fa-globe</v>
      </c>
      <c r="G33" s="29" t="str">
        <f t="shared" si="124"/>
        <v>Spatial domains</v>
      </c>
      <c r="H33" s="29" t="str">
        <f>HLOOKUP(H$1,google_form!$1:$196,$A33,FALSE)</f>
        <v>Open ocean, Surface</v>
      </c>
      <c r="I33" s="29" t="str">
        <f t="shared" ref="I33:J33" si="125">if(ISBLANK($C33), "", I$1)</f>
        <v>fa-solid fa-hourglass-start</v>
      </c>
      <c r="J33" s="29" t="str">
        <f t="shared" si="125"/>
        <v>Temporal resolution</v>
      </c>
      <c r="K33" s="29" t="str">
        <f>HLOOKUP(K$1,google_form!$1:$196,$A33,FALSE)</f>
        <v>monthly</v>
      </c>
      <c r="L33" s="29" t="str">
        <f t="shared" ref="L33:M33" si="126">if(ISBLANK($C33), "", L$1)</f>
        <v>fa-solid fa-ruler-horizontal</v>
      </c>
      <c r="M33" s="29" t="str">
        <f t="shared" si="126"/>
        <v>Spatial resolution</v>
      </c>
      <c r="N33" s="34" t="str">
        <f>HLOOKUP(N$1,google_form!$1:$196,$A33,FALSE)</f>
        <v>1° x 1°</v>
      </c>
      <c r="O33" s="29" t="str">
        <f t="shared" ref="O33:P33" si="127">if(ISBLANK($C33), "", O$1)</f>
        <v>fa-solid fa-calendar-days</v>
      </c>
      <c r="P33" s="29" t="str">
        <f t="shared" si="127"/>
        <v>Period</v>
      </c>
      <c r="Q33" s="29" t="str">
        <f>HLOOKUP(Q$1,google_form!$1:$196,$A33,FALSE)</f>
        <v>1982-2018</v>
      </c>
      <c r="R33" s="29" t="str">
        <f>HLOOKUP(R$1,google_form!$1:$196,$A33,FALSE)</f>
        <v>Temporal evolution of surface ocean fCO2 and air–sea CO2 exchange</v>
      </c>
      <c r="S33" s="29" t="str">
        <f>HLOOKUP(S$1,google_form!$1:$196,$A33,FALSE)</f>
        <v>Gloege et al. (2022)</v>
      </c>
      <c r="T33" s="33" t="str">
        <f>HLOOKUP(T$1,google_form!$1:$196,$A33,FALSE)</f>
        <v>https://doi.org/10.1029/2021ms002620</v>
      </c>
      <c r="U33" s="33" t="str">
        <f>HLOOKUP(U$1,google_form!$1:$196,$A33,FALSE)</f>
        <v>https://zenodo.org/records/4760205</v>
      </c>
      <c r="V33" s="29" t="str">
        <f t="shared" si="10"/>
        <v>Description</v>
      </c>
      <c r="W33" s="29" t="str">
        <f>HLOOKUP(W$1,google_form!$1:$196,$A33,FALSE)</f>
        <v>The LDEO Hybrid Physics Data (LDEO-HPD) estimates the temporal evolution of surface ocean fCO2 and air–sea CO2 exchange, utilizing the strengths of observations and global ocean biogeochemical models (GOBMs) (Gloege et al., 2022). GOBMs are internally consistent, mechanistic representations of the ocean circulation and carbon cycle, and have long been the standard for making spatiotemporally resolved estimates of air–sea CO2 fluxes. However, there is often a bias between the modeled fCO2 and available surface ocean measurements (Fay and McKinley 2021). The LDEO-HPD approach trains an eXtreme Gradient Boosting (XGB) algorithm to learn a non-linear relationship between model-data fCO2 mismatch and observed predictor variables: sea surface temperature (SST), sea surface salinity (SSS), chlorophyll concentration, mixed layer depth). The GOBM fCO2 is then corrected with the predicted model-data misfit to estimate real-world fCO2 for the observation period (Gloege et al., 2022). This results in reconstructed monthly surface ocean fCO2 and air–sea CO2 fluxes on a 1° × 1° grid in the open ocean beginning in 1982. </v>
      </c>
      <c r="X33" s="29" t="str">
        <f t="shared" si="11"/>
        <v>Reference</v>
      </c>
      <c r="Y33" s="29" t="str">
        <f>HLOOKUP(Y$1,google_form!$1:$196,$A33,FALSE)</f>
        <v>Gloege, L., Yan, M., Zheng, T., and McKinley, G. A.: Improved quantification of ocean carbon uptake by using machine learning to merge global models and pCO2 data, Journal of Advances in Modeling Earth Systems, 14(2),  https://doi.org/10.1029/2021ms002620, 2022. </v>
      </c>
    </row>
    <row r="34">
      <c r="A34" s="29">
        <v>33.0</v>
      </c>
      <c r="B34" s="29" t="str">
        <f>HLOOKUP(B$1,google_form!$1:$216,$A34,FALSE)</f>
        <v>Gridded surface</v>
      </c>
      <c r="C34" s="29" t="str">
        <f>HLOOKUP(C$1,google_form!$1:$216,$A34,FALSE)</f>
        <v>LDEO-HPD fCO2, with Extended Temporal Coverage</v>
      </c>
      <c r="D34" s="29" t="str">
        <f>HLOOKUP(D$1,google_form!$1:$216,$A34,FALSE)</f>
        <v>Gloege et al. (2022), Bennington et al. (2022)</v>
      </c>
      <c r="E34" s="33" t="str">
        <f>HLOOKUP(E$1,google_form!$1:$216,$A34,FALSE)</f>
        <v>https://i.ibb.co/pBXT90wP/jame21511-fig-0001-m.jpg</v>
      </c>
      <c r="F34" s="29" t="str">
        <f t="shared" ref="F34:G34" si="128">if(ISBLANK($C34), "", F$1)</f>
        <v>fa-solid fa-globe</v>
      </c>
      <c r="G34" s="29" t="str">
        <f t="shared" si="128"/>
        <v>Spatial domains</v>
      </c>
      <c r="H34" s="29" t="str">
        <f>HLOOKUP(H$1,google_form!$1:$196,$A34,FALSE)</f>
        <v>Open ocean</v>
      </c>
      <c r="I34" s="29" t="str">
        <f t="shared" ref="I34:J34" si="129">if(ISBLANK($C34), "", I$1)</f>
        <v>fa-solid fa-hourglass-start</v>
      </c>
      <c r="J34" s="29" t="str">
        <f t="shared" si="129"/>
        <v>Temporal resolution</v>
      </c>
      <c r="K34" s="29" t="str">
        <f>HLOOKUP(K$1,google_form!$1:$196,$A34,FALSE)</f>
        <v>monthly</v>
      </c>
      <c r="L34" s="29" t="str">
        <f t="shared" ref="L34:M34" si="130">if(ISBLANK($C34), "", L$1)</f>
        <v>fa-solid fa-ruler-horizontal</v>
      </c>
      <c r="M34" s="29" t="str">
        <f t="shared" si="130"/>
        <v>Spatial resolution</v>
      </c>
      <c r="N34" s="34" t="str">
        <f>HLOOKUP(N$1,google_form!$1:$196,$A34,FALSE)</f>
        <v>1° x 1°</v>
      </c>
      <c r="O34" s="29" t="str">
        <f t="shared" ref="O34:P34" si="131">if(ISBLANK($C34), "", O$1)</f>
        <v>fa-solid fa-calendar-days</v>
      </c>
      <c r="P34" s="29" t="str">
        <f t="shared" si="131"/>
        <v>Period</v>
      </c>
      <c r="Q34" s="29" t="str">
        <f>HLOOKUP(Q$1,google_form!$1:$196,$A34,FALSE)</f>
        <v>1959-2023</v>
      </c>
      <c r="R34" s="29" t="str">
        <f>HLOOKUP(R$1,google_form!$1:$196,$A34,FALSE)</f>
        <v>LDEO-HPD uses model-data misfit climatology to extend estimate back in time to 1959</v>
      </c>
      <c r="S34" s="29" t="str">
        <f>HLOOKUP(S$1,google_form!$1:$196,$A34,FALSE)</f>
        <v>Gloege et al. (2022), Bennington et al. (2022)</v>
      </c>
      <c r="T34" s="33" t="str">
        <f>HLOOKUP(T$1,google_form!$1:$196,$A34,FALSE)</f>
        <v>https://doi.org/10.1029/2022GL098632</v>
      </c>
      <c r="U34" s="33" t="str">
        <f>HLOOKUP(U$1,google_form!$1:$196,$A34,FALSE)</f>
        <v>https://zenodo.org/records/13891722</v>
      </c>
      <c r="V34" s="29" t="str">
        <f t="shared" si="10"/>
        <v>Description</v>
      </c>
      <c r="W34" s="29" t="str">
        <f>HLOOKUP(W$1,google_form!$1:$196,$A34,FALSE)</f>
        <v>LDEO-HPD with Extended Temporal Coverage builds on the work of Gloege et al. (2022), the LDEO-HPD product, extending the timeseries back in time to predict fCO2 for all available model years. Bennington et al. (2022) find that the largest component of the GOBM corrections is climatological. The smaller corrections at other timescales suggest either that these are well captured by the GOBMs or the data are insufficient. The dominance of climatological corrections supports the extension of the LDEO-HPD fCO2 product backwards in time. A climatology of model-observation misfits for the best-observed period (2000–present) is applied to the GOBMs for 1959–1981, while an inter-annually varying correction is used for 1982 onward. (Bennington et al., 2022a). This results in reconstructed monthly surface ocean fCO2 and air–sea CO2 fluxes on a 1° × 1° grid covering the open ocean, beginning in 1959.</v>
      </c>
      <c r="X34" s="29" t="str">
        <f t="shared" si="11"/>
        <v>Reference</v>
      </c>
      <c r="Y34" s="29" t="str">
        <f>HLOOKUP(Y$1,google_form!$1:$196,$A34,FALSE)</f>
        <v>Gloege, L., Yan, M., Zheng, T. and McKinley, G. A.: Improved quantification of ocean carbon uptake by using machine learning to merge global models and pCO2 data, Journal of Advances in Modeling Earth Systems, 14(2), https://doi.org/10.1029/2021MS002620, 2022; &lt;/br&gt;&lt;/br&gt;Bennington, V., Gloege, L., and McKinley, G. A.: Variability in the global ocean carbon sink from 1959 to 2020 by correcting models with observations, Geophysical Research Letters, 49(14), https://doi.org/10.1029/2022GL098632, 2022</v>
      </c>
    </row>
    <row r="35">
      <c r="A35" s="29">
        <v>34.0</v>
      </c>
      <c r="B35" s="29" t="str">
        <f>HLOOKUP(B$1,google_form!$1:$216,$A35,FALSE)</f>
        <v>Gridded surface</v>
      </c>
      <c r="C35" s="29" t="str">
        <f>HLOOKUP(C$1,google_form!$1:$216,$A35,FALSE)</f>
        <v>LDEO fCO2 - Residual Method</v>
      </c>
      <c r="D35" s="29" t="str">
        <f>HLOOKUP(D$1,google_form!$1:$216,$A35,FALSE)</f>
        <v>Bennington et al. (2022)</v>
      </c>
      <c r="E35" s="33" t="str">
        <f>HLOOKUP(E$1,google_form!$1:$216,$A35,FALSE)</f>
        <v>https://i.ibb.co/xSw1HkMf/jame21703-fig-0001-m.jpg</v>
      </c>
      <c r="F35" s="29" t="str">
        <f t="shared" ref="F35:G35" si="132">if(ISBLANK($C35), "", F$1)</f>
        <v>fa-solid fa-globe</v>
      </c>
      <c r="G35" s="29" t="str">
        <f t="shared" si="132"/>
        <v>Spatial domains</v>
      </c>
      <c r="H35" s="29" t="str">
        <f>HLOOKUP(H$1,google_form!$1:$196,$A35,FALSE)</f>
        <v>Open ocean</v>
      </c>
      <c r="I35" s="29" t="str">
        <f t="shared" ref="I35:J35" si="133">if(ISBLANK($C35), "", I$1)</f>
        <v>fa-solid fa-hourglass-start</v>
      </c>
      <c r="J35" s="29" t="str">
        <f t="shared" si="133"/>
        <v>Temporal resolution</v>
      </c>
      <c r="K35" s="29" t="str">
        <f>HLOOKUP(K$1,google_form!$1:$196,$A35,FALSE)</f>
        <v>monthly</v>
      </c>
      <c r="L35" s="29" t="str">
        <f t="shared" ref="L35:M35" si="134">if(ISBLANK($C35), "", L$1)</f>
        <v>fa-solid fa-ruler-horizontal</v>
      </c>
      <c r="M35" s="29" t="str">
        <f t="shared" si="134"/>
        <v>Spatial resolution</v>
      </c>
      <c r="N35" s="34" t="str">
        <f>HLOOKUP(N$1,google_form!$1:$196,$A35,FALSE)</f>
        <v>1° x 1°</v>
      </c>
      <c r="O35" s="29" t="str">
        <f t="shared" ref="O35:P35" si="135">if(ISBLANK($C35), "", O$1)</f>
        <v>fa-solid fa-calendar-days</v>
      </c>
      <c r="P35" s="29" t="str">
        <f t="shared" si="135"/>
        <v>Period</v>
      </c>
      <c r="Q35" s="29" t="str">
        <f>HLOOKUP(Q$1,google_form!$1:$196,$A35,FALSE)</f>
        <v>1982-2023</v>
      </c>
      <c r="R35" s="29" t="str">
        <f>HLOOKUP(R$1,google_form!$1:$196,$A35,FALSE)</f>
        <v>Removes the temperature component before Machine Learning</v>
      </c>
      <c r="S35" s="29" t="str">
        <f>HLOOKUP(S$1,google_form!$1:$196,$A35,FALSE)</f>
        <v>Bennington et al. (2022)</v>
      </c>
      <c r="T35" s="33" t="str">
        <f>HLOOKUP(T$1,google_form!$1:$196,$A35,FALSE)</f>
        <v>https://doi.org/10.1029/2021MS002960</v>
      </c>
      <c r="U35" s="33" t="str">
        <f>HLOOKUP(U$1,google_form!$1:$196,$A35,FALSE)</f>
        <v>https://zenodo.org/records/13941548</v>
      </c>
      <c r="V35" s="29" t="str">
        <f t="shared" si="10"/>
        <v>Description</v>
      </c>
      <c r="W35" s="29" t="str">
        <f>HLOOKUP(W$1,google_form!$1:$196,$A35,FALSE)</f>
        <v>LDEO fCO2 - Residual Method estimates full-coverage fCO2 by training a machine learning algorithm on sparse in situ fCO2 data and associated physical and biogeochemical observations. While these associated variables have well-known relationships to fCO2 , it is often unclear how they mechanistically drive fCO2 around the world. The LDEO fCO2 -Residual method takes the basic approach and enhances connections between physical understanding and reconstructed fCO2 . The novel approach used here includes applying pre-processing to the fCO2 data to remove the direct effect of temperature – a relationship well-documented in literature and lab experiments. This enhances the biogeochemical/physical component of fCO2 in the target variable (now fCO2 -Residual) and reduces the complexity that the machine learning must disentangle. The resulting algorithm has physically understandable connections between input data and the output biogeochemical/physical component of fCO2. This results in reconstructed monthly surface ocean fCO2 and air–sea CO2 fluxes on a 1° × 1° grid covering the open ocean, beginning in 1982 and extended to the most recent year of available data.</v>
      </c>
      <c r="X35" s="29" t="str">
        <f t="shared" si="11"/>
        <v>Reference</v>
      </c>
      <c r="Y35" s="29" t="str">
        <f>HLOOKUP(Y$1,google_form!$1:$196,$A35,FALSE)</f>
        <v>Bennington, V., Galjanic, T., &amp; McKinley, G. A. (2022). Explicit physical knowledge in machine learning for ocean carbon flux reconstruction: The pCO2-Residual method. Journal of Advances in Modeling Earth Systems, 14, e2021MS002960. https://doi. org/10.1029/2021MS002960</v>
      </c>
    </row>
    <row r="36">
      <c r="A36" s="29">
        <v>35.0</v>
      </c>
      <c r="B36" s="29" t="str">
        <f>HLOOKUP(B$1,google_form!$1:$216,$A36,FALSE)</f>
        <v>Gridded surface</v>
      </c>
      <c r="C36" s="29" t="str">
        <f>HLOOKUP(C$1,google_form!$1:$216,$A36,FALSE)</f>
        <v>CMEMS-LSCEv1</v>
      </c>
      <c r="D36" s="29" t="str">
        <f>HLOOKUP(D$1,google_form!$1:$216,$A36,FALSE)</f>
        <v>Chau et al. (2022)</v>
      </c>
      <c r="E36" s="33" t="str">
        <f>HLOOKUP(E$1,google_form!$1:$216,$A36,FALSE)</f>
        <v>https://bg.copernicus.org/articles/19/1087/2022/bg-19-1087-2022-avatar-web.png</v>
      </c>
      <c r="F36" s="29" t="str">
        <f t="shared" ref="F36:G36" si="136">if(ISBLANK($C36), "", F$1)</f>
        <v>fa-solid fa-globe</v>
      </c>
      <c r="G36" s="29" t="str">
        <f t="shared" si="136"/>
        <v>Spatial domains</v>
      </c>
      <c r="H36" s="29" t="str">
        <f>HLOOKUP(H$1,google_form!$1:$196,$A36,FALSE)</f>
        <v>Open ocean, Coastal ocean, Surface</v>
      </c>
      <c r="I36" s="29" t="str">
        <f t="shared" ref="I36:J36" si="137">if(ISBLANK($C36), "", I$1)</f>
        <v>fa-solid fa-hourglass-start</v>
      </c>
      <c r="J36" s="29" t="str">
        <f t="shared" si="137"/>
        <v>Temporal resolution</v>
      </c>
      <c r="K36" s="29" t="str">
        <f>HLOOKUP(K$1,google_form!$1:$196,$A36,FALSE)</f>
        <v>monthly, climatology</v>
      </c>
      <c r="L36" s="29" t="str">
        <f t="shared" ref="L36:M36" si="138">if(ISBLANK($C36), "", L$1)</f>
        <v>fa-solid fa-ruler-horizontal</v>
      </c>
      <c r="M36" s="29" t="str">
        <f t="shared" si="138"/>
        <v>Spatial resolution</v>
      </c>
      <c r="N36" s="34" t="str">
        <f>HLOOKUP(N$1,google_form!$1:$196,$A36,FALSE)</f>
        <v>1° x 1°</v>
      </c>
      <c r="O36" s="29" t="str">
        <f t="shared" ref="O36:P36" si="139">if(ISBLANK($C36), "", O$1)</f>
        <v>fa-solid fa-calendar-days</v>
      </c>
      <c r="P36" s="29" t="str">
        <f t="shared" si="139"/>
        <v>Period</v>
      </c>
      <c r="Q36" s="29" t="str">
        <f>HLOOKUP(Q$1,google_form!$1:$196,$A36,FALSE)</f>
        <v>1985 - 2019</v>
      </c>
      <c r="R36" s="29" t="str">
        <f>HLOOKUP(R$1,google_form!$1:$196,$A36,FALSE)</f>
        <v>seamless reconstruction from coastal to open ocean</v>
      </c>
      <c r="S36" s="29" t="str">
        <f>HLOOKUP(S$1,google_form!$1:$196,$A36,FALSE)</f>
        <v>Chau et al. (2022)</v>
      </c>
      <c r="T36" s="33" t="str">
        <f>HLOOKUP(T$1,google_form!$1:$196,$A36,FALSE)</f>
        <v>https://doi.org/10.5194/bg-19-1087-2022</v>
      </c>
      <c r="U36" s="33" t="str">
        <f>HLOOKUP(U$1,google_form!$1:$196,$A36,FALSE)</f>
        <v>https://data.ipsl.fr/catalog/srv/eng/catalog.search#/metadata/a2f0891b-763a-49e9-af1b-78ed78b16982</v>
      </c>
      <c r="V36" s="29" t="str">
        <f t="shared" si="10"/>
        <v>Description</v>
      </c>
      <c r="W36" s="29" t="str">
        <f>HLOOKUP(W$1,google_form!$1:$196,$A36,FALSE)</f>
        <v>Monthly surface ocean pCO2 and air–sea CO2 fluxes on a 1° × 1° grid in both the open ocean and coastal seas from 1985–2019 were reconstructed by Chau et al., (2022). CMEMS-LSCE is short for Copernicus Marine Environment Monitoring Service - Laboratoire des Sciences du Climat et de l’Environnement. This product is generated from an ensemble-based reconstruction of pCO2 maps trained with gridded data from SOCATv2020 (Bakker et al., 2016). Sea-surface pCO2 values (converted from the original fCO2 values in SOCATv2020) were regressed against a set of predictors with non-linear functions, i.e., feed-forward neural network (FFNN) models. The predictors include: sea-surface height (SSH), SST, SSS, MLD, chlorophyll a (Chl-a), atmospheric CO2 mole fraction (xCO2), and geographical coordinates (longitudes and latitudes). </v>
      </c>
      <c r="X36" s="29" t="str">
        <f t="shared" si="11"/>
        <v>Reference</v>
      </c>
      <c r="Y36" s="29" t="str">
        <f>HLOOKUP(Y$1,google_form!$1:$196,$A36,FALSE)</f>
        <v>Chau, T.-T.-T., Gehlen, M., and Chevallier, F.: A seamless ensemble-based reconstruction of surface ocean pCO2 and air–sea CO2 fluxes over the global coastal and open oceans. Biogeosciences, 19(4), 1087–1109,  https://doi.org/10.5194/bg-19-1087-2022, 2022.</v>
      </c>
    </row>
    <row r="37">
      <c r="A37" s="29">
        <v>36.0</v>
      </c>
      <c r="B37" s="29" t="str">
        <f>HLOOKUP(B$1,google_form!$1:$216,$A37,FALSE)</f>
        <v>Gridded surface</v>
      </c>
      <c r="C37" s="29" t="str">
        <f>HLOOKUP(C$1,google_form!$1:$216,$A37,FALSE)</f>
        <v>CMEMS-LSCEv2</v>
      </c>
      <c r="D37" s="29" t="str">
        <f>HLOOKUP(D$1,google_form!$1:$216,$A37,FALSE)</f>
        <v>Chau et al. (2024)</v>
      </c>
      <c r="E37" s="33" t="str">
        <f>HLOOKUP(E$1,google_form!$1:$216,$A37,FALSE)</f>
        <v>https://essd.copernicus.org/articles/16/121/2024/essd-16-121-2024-avatar-web.png</v>
      </c>
      <c r="F37" s="29" t="str">
        <f t="shared" ref="F37:G37" si="140">if(ISBLANK($C37), "", F$1)</f>
        <v>fa-solid fa-globe</v>
      </c>
      <c r="G37" s="29" t="str">
        <f t="shared" si="140"/>
        <v>Spatial domains</v>
      </c>
      <c r="H37" s="29" t="str">
        <f>HLOOKUP(H$1,google_form!$1:$196,$A37,FALSE)</f>
        <v>Open ocean, Coastal ocean, Surface</v>
      </c>
      <c r="I37" s="29" t="str">
        <f t="shared" ref="I37:J37" si="141">if(ISBLANK($C37), "", I$1)</f>
        <v>fa-solid fa-hourglass-start</v>
      </c>
      <c r="J37" s="29" t="str">
        <f t="shared" si="141"/>
        <v>Temporal resolution</v>
      </c>
      <c r="K37" s="29" t="str">
        <f>HLOOKUP(K$1,google_form!$1:$196,$A37,FALSE)</f>
        <v>monthly, climatology</v>
      </c>
      <c r="L37" s="29" t="str">
        <f t="shared" ref="L37:M37" si="142">if(ISBLANK($C37), "", L$1)</f>
        <v>fa-solid fa-ruler-horizontal</v>
      </c>
      <c r="M37" s="29" t="str">
        <f t="shared" si="142"/>
        <v>Spatial resolution</v>
      </c>
      <c r="N37" s="34" t="str">
        <f>HLOOKUP(N$1,google_form!$1:$196,$A37,FALSE)</f>
        <v>0.25° x 0.25°</v>
      </c>
      <c r="O37" s="29" t="str">
        <f t="shared" ref="O37:P37" si="143">if(ISBLANK($C37), "", O$1)</f>
        <v>fa-solid fa-calendar-days</v>
      </c>
      <c r="P37" s="29" t="str">
        <f t="shared" si="143"/>
        <v>Period</v>
      </c>
      <c r="Q37" s="29" t="str">
        <f>HLOOKUP(Q$1,google_form!$1:$196,$A37,FALSE)</f>
        <v>1985 - 2025</v>
      </c>
      <c r="R37" s="29" t="str">
        <f>HLOOKUP(R$1,google_form!$1:$196,$A37,FALSE)</f>
        <v>Yearly extension of time-series &amp; monthly reconstruction at low latency</v>
      </c>
      <c r="S37" s="29" t="str">
        <f>HLOOKUP(S$1,google_form!$1:$196,$A37,FALSE)</f>
        <v>Chau et al. (2024)</v>
      </c>
      <c r="T37" s="33" t="str">
        <f>HLOOKUP(T$1,google_form!$1:$196,$A37,FALSE)</f>
        <v>https://doi.org/10.5194/essd-16-121-2024</v>
      </c>
      <c r="U37" s="33" t="str">
        <f>HLOOKUP(U$1,google_form!$1:$196,$A37,FALSE)</f>
        <v>https://doi.org/10.48670/moi-00047</v>
      </c>
      <c r="V37" s="29" t="str">
        <f t="shared" si="10"/>
        <v>Description</v>
      </c>
      <c r="W37" s="29" t="str">
        <f>HLOOKUP(W$1,google_form!$1:$196,$A37,FALSE)</f>
        <v>CMEMS-LSCEv2 corresponds to the latest version of the CMEMS-LSCE FFNN. It uses the same ensemble-based reconstruction method for pCO2 maps as CMEMS-LSCEv1.  Improvements include downscaling the spatial resolution to 0.25° × 0.25° and reproducing additional surface ocean carbonate system variables on a global grid from 1985 onwards (Chau et al., 2024a). The additional surface ocean carbonate system variables are: pCO2, DIC, TA, pH, Ωarag, and Ωcalc. Surface ocean pCO2 is reconstructed based on an ensemble of neural network models mapping gridded observation-based data provided by SOCATv2022 (Bakker et al., 2016). Surface ocean TA is estimated with a multiple linear regression approach (Carter et al., 2016, 2017). The remaining carbonate variables are calculated from pCO2 and TA using a MATLAB version of CO2SYS (Lewis and Wallace, 1998; Van Heuven et al., 2011). The CMEMS-LSCE product is updated yearly for surface ocean pCO2, air-sea fluxes, and the carbonate system variables. Updates are phased with release of the SOCAT database. For surface ocean pCO2 and air-sea fluxes the temporal coverage is extended to the present date with a latency of 1 month (Chau et al., 2024b). </v>
      </c>
      <c r="X37" s="29" t="str">
        <f t="shared" si="11"/>
        <v>Reference</v>
      </c>
      <c r="Y37" s="29" t="str">
        <f>HLOOKUP(Y$1,google_form!$1:$196,$A37,FALSE)</f>
        <v>Chau, T.-T.-T., Gehlen, M., Metzl, N., and Chevallier, F.: CMEMS-LSCE: a global, 0.25°, monthly reconstruction of the surface ocean carbonate system, Earth Syst. Sci. Data, 16, 121–160, https://doi.org/10.5194/essd-16-121-2024, 2024. </v>
      </c>
    </row>
    <row r="38">
      <c r="A38" s="29">
        <v>37.0</v>
      </c>
      <c r="B38" s="29" t="str">
        <f>HLOOKUP(B$1,google_form!$1:$216,$A38,FALSE)</f>
        <v>Gridded surface</v>
      </c>
      <c r="C38" s="29" t="str">
        <f>HLOOKUP(C$1,google_form!$1:$216,$A38,FALSE)</f>
        <v>CarboScope (Jena-MLS)</v>
      </c>
      <c r="D38" s="29" t="str">
        <f>HLOOKUP(D$1,google_form!$1:$216,$A38,FALSE)</f>
        <v>Rödenbeck et al. (2022)</v>
      </c>
      <c r="E38" s="33" t="str">
        <f>HLOOKUP(E$1,google_form!$1:$216,$A38,FALSE)</f>
        <v>https://bg.copernicus.org/articles/19/2627/2022/bg-19-2627-2022-avatar-web.png</v>
      </c>
      <c r="F38" s="29" t="str">
        <f t="shared" ref="F38:G38" si="144">if(ISBLANK($C38), "", F$1)</f>
        <v>fa-solid fa-globe</v>
      </c>
      <c r="G38" s="29" t="str">
        <f t="shared" si="144"/>
        <v>Spatial domains</v>
      </c>
      <c r="H38" s="29" t="str">
        <f>HLOOKUP(H$1,google_form!$1:$196,$A38,FALSE)</f>
        <v>Open ocean</v>
      </c>
      <c r="I38" s="29" t="str">
        <f t="shared" ref="I38:J38" si="145">if(ISBLANK($C38), "", I$1)</f>
        <v>fa-solid fa-hourglass-start</v>
      </c>
      <c r="J38" s="29" t="str">
        <f t="shared" si="145"/>
        <v>Temporal resolution</v>
      </c>
      <c r="K38" s="29" t="str">
        <f>HLOOKUP(K$1,google_form!$1:$196,$A38,FALSE)</f>
        <v>daily</v>
      </c>
      <c r="L38" s="29" t="str">
        <f t="shared" ref="L38:M38" si="146">if(ISBLANK($C38), "", L$1)</f>
        <v>fa-solid fa-ruler-horizontal</v>
      </c>
      <c r="M38" s="29" t="str">
        <f t="shared" si="146"/>
        <v>Spatial resolution</v>
      </c>
      <c r="N38" s="34" t="str">
        <f>HLOOKUP(N$1,google_form!$1:$196,$A38,FALSE)</f>
        <v>2.5° x 2°</v>
      </c>
      <c r="O38" s="29" t="str">
        <f t="shared" ref="O38:P38" si="147">if(ISBLANK($C38), "", O$1)</f>
        <v>fa-solid fa-calendar-days</v>
      </c>
      <c r="P38" s="29" t="str">
        <f t="shared" si="147"/>
        <v>Period</v>
      </c>
      <c r="Q38" s="29" t="str">
        <f>HLOOKUP(Q$1,google_form!$1:$196,$A38,FALSE)</f>
        <v>1957-2020</v>
      </c>
      <c r="R38" s="29" t="str">
        <f>HLOOKUP(R$1,google_form!$1:$196,$A38,FALSE)</f>
        <v>Variability of pCO2 and air–sea CO2 fluxes since 1957, sensitivities to SST and wind speed variations</v>
      </c>
      <c r="S38" s="29" t="str">
        <f>HLOOKUP(S$1,google_form!$1:$196,$A38,FALSE)</f>
        <v>Rödenbeck et al. (2022)</v>
      </c>
      <c r="T38" s="33" t="str">
        <f>HLOOKUP(T$1,google_form!$1:$196,$A38,FALSE)</f>
        <v>https://doi.org/10.5194/bg-19-2627-2022</v>
      </c>
      <c r="U38" s="33" t="str">
        <f>HLOOKUP(U$1,google_form!$1:$196,$A38,FALSE)</f>
        <v>https://www.bgc-jena.mpg.de/CarboScope/</v>
      </c>
      <c r="V38" s="29" t="str">
        <f t="shared" si="10"/>
        <v>Description</v>
      </c>
      <c r="W38" s="29" t="str">
        <f>HLOOKUP(W$1,google_form!$1:$196,$A38,FALSE)</f>
        <v>The Jena Mixed-Layer Scheme (within the CarboScope family of data-based estimates of carbon-cycle variability) is based on observed sea surface pCO2 from SOCAT (see above No. 1) (Bakker et al., 2014). It provides daily global fields of pCO2 and air–sea CO2 fluxes from 1957 to the year before present, on a resolution of 2.5° × 2° degrees. In the original method (Rödenbeck et al., 2013), a diagnostic model of the carbon balance in the ocean mixed layer is being fitted to the pCO2 data, by adjusting the ocean-interior sources and sinks of carbon of the mixed layer. The multi-decadal trend is derived from the data-based Ocean Circulation Inverse Model (OCIM) estimate provided by DeVries (2022b). Since a later extension described in Rödenbeck et al. (2022), the variability in the ocean-interior sources and sinks is first regressed against variability in SST and wind speed. The regression step is followed by a correction step with explicit temporal variability, to also represent data variability not yet represented by the predictors of the regression. The CarboScope product is updated yearly.    </v>
      </c>
      <c r="X38" s="29" t="str">
        <f t="shared" si="11"/>
        <v>Reference</v>
      </c>
      <c r="Y38" s="29" t="str">
        <f>HLOOKUP(Y$1,google_form!$1:$196,$A38,FALSE)</f>
        <v>Rödenbeck, Christian, DeVries, T., Hauck, J., Le Quéré, C., &amp; Keeling, R. F.: Data-based estimates of interannual sea-air CO2 flux variations 1957-2020 and their relation to environmental drivers, Biogeosciences, 19(10), 2627–2652,  https://doi.org/10.5194/bg-19-2627-2022, 2022.  </v>
      </c>
    </row>
    <row r="39">
      <c r="A39" s="29">
        <v>38.0</v>
      </c>
      <c r="B39" s="29" t="str">
        <f>HLOOKUP(B$1,google_form!$1:$216,$A39,FALSE)</f>
        <v>Gridded surface</v>
      </c>
      <c r="C39" s="29" t="str">
        <f>HLOOKUP(C$1,google_form!$1:$216,$A39,FALSE)</f>
        <v>UoEX-Watson</v>
      </c>
      <c r="D39" s="29" t="str">
        <f>HLOOKUP(D$1,google_form!$1:$216,$A39,FALSE)</f>
        <v>Watson et al (2020)</v>
      </c>
      <c r="E39" s="33" t="str">
        <f>HLOOKUP(E$1,google_form!$1:$216,$A39,FALSE)</f>
        <v>https://i.ibb.co/tpmH1dzt/Watson.png</v>
      </c>
      <c r="F39" s="29" t="str">
        <f t="shared" ref="F39:G39" si="148">if(ISBLANK($C39), "", F$1)</f>
        <v>fa-solid fa-globe</v>
      </c>
      <c r="G39" s="29" t="str">
        <f t="shared" si="148"/>
        <v>Spatial domains</v>
      </c>
      <c r="H39" s="29" t="str">
        <f>HLOOKUP(H$1,google_form!$1:$196,$A39,FALSE)</f>
        <v>Open ocean</v>
      </c>
      <c r="I39" s="29" t="str">
        <f t="shared" ref="I39:J39" si="149">if(ISBLANK($C39), "", I$1)</f>
        <v>fa-solid fa-hourglass-start</v>
      </c>
      <c r="J39" s="29" t="str">
        <f t="shared" si="149"/>
        <v>Temporal resolution</v>
      </c>
      <c r="K39" s="29" t="str">
        <f>HLOOKUP(K$1,google_form!$1:$196,$A39,FALSE)</f>
        <v>monthly</v>
      </c>
      <c r="L39" s="29" t="str">
        <f t="shared" ref="L39:M39" si="150">if(ISBLANK($C39), "", L$1)</f>
        <v>fa-solid fa-ruler-horizontal</v>
      </c>
      <c r="M39" s="29" t="str">
        <f t="shared" si="150"/>
        <v>Spatial resolution</v>
      </c>
      <c r="N39" s="34" t="str">
        <f>HLOOKUP(N$1,google_form!$1:$196,$A39,FALSE)</f>
        <v>1° x 1°</v>
      </c>
      <c r="O39" s="29" t="str">
        <f t="shared" ref="O39:P39" si="151">if(ISBLANK($C39), "", O$1)</f>
        <v>fa-solid fa-calendar-days</v>
      </c>
      <c r="P39" s="29" t="str">
        <f t="shared" si="151"/>
        <v>Period</v>
      </c>
      <c r="Q39" s="29" t="str">
        <f>HLOOKUP(Q$1,google_form!$1:$196,$A39,FALSE)</f>
        <v>1985-2019</v>
      </c>
      <c r="R39" s="29" t="str">
        <f>HLOOKUP(R$1,google_form!$1:$196,$A39,FALSE)</f>
        <v>Air-sea fluxes of CO2 with adjusted skin temperature effect</v>
      </c>
      <c r="S39" s="29" t="str">
        <f>HLOOKUP(S$1,google_form!$1:$196,$A39,FALSE)</f>
        <v>Watson et al (2020)</v>
      </c>
      <c r="T39" s="33" t="str">
        <f>HLOOKUP(T$1,google_form!$1:$196,$A39,FALSE)</f>
        <v>https://doi.org/10.1038/s41467-020-18203-3</v>
      </c>
      <c r="U39" s="33" t="str">
        <f>HLOOKUP(U$1,google_form!$1:$196,$A39,FALSE)</f>
        <v>https://www.ncei.noaa.gov/data/oceans/ncei/ocads/data/0301544/</v>
      </c>
      <c r="V39" s="29" t="str">
        <f t="shared" si="10"/>
        <v>Description</v>
      </c>
      <c r="W39" s="29" t="str">
        <f>HLOOKUP(W$1,google_form!$1:$196,$A39,FALSE)</f>
        <v>This is a gridded estimate of the atmosphere-ocean flux of CO2.  It takes into account near-surface temperature and salinity deviations due to the surface "skin effect", and small deviations in temperature caused by sampling below the actual surface of the ocean, which most estimates ignore. The result is a substantially larger estimate of net flux into the ocean than most other products. Apart from the surface correction, the SOM-FFN neural net interpolation method developed by Landschutzer et al is followed.</v>
      </c>
      <c r="X39" s="29" t="str">
        <f t="shared" si="11"/>
        <v>Reference</v>
      </c>
      <c r="Y39" s="29" t="str">
        <f>HLOOKUP(Y$1,google_form!$1:$196,$A39,FALSE)</f>
        <v>Watson, A. J., Schuster, U., Shutler, J. D., Holding, T., Ashton, I. G., Landschützer, P., Woolf, D., and Goddijn-Murphy, L.: Revised estimates of ocean-atmosphere CO2 flux are consistent with ocean carbon inventory, Nature Communications, 11(1), 1–6, https://doi.org/10.1038/s41467-020-18203-3, 2020.</v>
      </c>
    </row>
    <row r="40">
      <c r="A40" s="29">
        <v>39.0</v>
      </c>
      <c r="B40" s="29" t="str">
        <f>HLOOKUP(B$1,google_form!$1:$216,$A40,FALSE)</f>
        <v>Gridded surface</v>
      </c>
      <c r="C40" s="29" t="str">
        <f>HLOOKUP(C$1,google_form!$1:$216,$A40,FALSE)</f>
        <v>NIES-ML3</v>
      </c>
      <c r="D40" s="29" t="str">
        <f>HLOOKUP(D$1,google_form!$1:$216,$A40,FALSE)</f>
        <v>Zeng et al. (2022)</v>
      </c>
      <c r="E40" s="33" t="str">
        <f>HLOOKUP(E$1,google_form!$1:$216,$A40,FALSE)</f>
        <v>https://i.ibb.co/zW1nfm1f/Picture3b.png</v>
      </c>
      <c r="F40" s="29" t="str">
        <f t="shared" ref="F40:G40" si="152">if(ISBLANK($C40), "", F$1)</f>
        <v>fa-solid fa-globe</v>
      </c>
      <c r="G40" s="29" t="str">
        <f t="shared" si="152"/>
        <v>Spatial domains</v>
      </c>
      <c r="H40" s="29" t="str">
        <f>HLOOKUP(H$1,google_form!$1:$196,$A40,FALSE)</f>
        <v>Open ocean, Surface</v>
      </c>
      <c r="I40" s="29" t="str">
        <f t="shared" ref="I40:J40" si="153">if(ISBLANK($C40), "", I$1)</f>
        <v>fa-solid fa-hourglass-start</v>
      </c>
      <c r="J40" s="29" t="str">
        <f t="shared" si="153"/>
        <v>Temporal resolution</v>
      </c>
      <c r="K40" s="29" t="str">
        <f>HLOOKUP(K$1,google_form!$1:$196,$A40,FALSE)</f>
        <v>monthly</v>
      </c>
      <c r="L40" s="29" t="str">
        <f t="shared" ref="L40:M40" si="154">if(ISBLANK($C40), "", L$1)</f>
        <v>fa-solid fa-ruler-horizontal</v>
      </c>
      <c r="M40" s="29" t="str">
        <f t="shared" si="154"/>
        <v>Spatial resolution</v>
      </c>
      <c r="N40" s="34" t="str">
        <f>HLOOKUP(N$1,google_form!$1:$196,$A40,FALSE)</f>
        <v>1° x 1°</v>
      </c>
      <c r="O40" s="29" t="str">
        <f t="shared" ref="O40:P40" si="155">if(ISBLANK($C40), "", O$1)</f>
        <v>fa-solid fa-calendar-days</v>
      </c>
      <c r="P40" s="29" t="str">
        <f t="shared" si="155"/>
        <v>Period</v>
      </c>
      <c r="Q40" s="29" t="str">
        <f>HLOOKUP(Q$1,google_form!$1:$196,$A40,FALSE)</f>
        <v>1982 - 2024</v>
      </c>
      <c r="R40" s="29" t="str">
        <f>HLOOKUP(R$1,google_form!$1:$196,$A40,FALSE)</f>
        <v>Three machine learning methods were used to simulate surface ocean CO2 trends and construct monthly CO2 maps. </v>
      </c>
      <c r="S40" s="29" t="str">
        <f>HLOOKUP(S$1,google_form!$1:$196,$A40,FALSE)</f>
        <v>Zeng et al. (2022)</v>
      </c>
      <c r="T40" s="33" t="str">
        <f>HLOOKUP(T$1,google_form!$1:$196,$A40,FALSE)</f>
        <v>https://doi.org/10.3389/fmars.2022.989233</v>
      </c>
      <c r="U40" s="33" t="str">
        <f>HLOOKUP(U$1,google_form!$1:$196,$A40,FALSE)</f>
        <v>https://www.nies.go.jp/doi/10.17595/20220311.001-e.html</v>
      </c>
      <c r="V40" s="29" t="str">
        <f t="shared" si="10"/>
        <v>Description</v>
      </c>
      <c r="W40" s="29" t="str">
        <f>HLOOKUP(W$1,google_form!$1:$196,$A40,FALSE)</f>
        <v>A feed forward neural network (NN), a random forest (RF) and a gradient boost machine (GB) were used to simulate the time variant trends of the surface ocean CO2 and construct monthly global surface ocean CO2 maps. The trends of ocean CO2 were estimated from the annual increase rate of atmospheric CO2 first and then corrected by using the NN, RF and GB with a leave-one-year-out validation method. Including different machine learning methods has the advantages of preventing over fitting by inter-comparison and reducing hot-spot by using the ensemble of their results.    </v>
      </c>
      <c r="X40" s="29" t="str">
        <f t="shared" si="11"/>
        <v>Reference</v>
      </c>
      <c r="Y40" s="29" t="str">
        <f>HLOOKUP(Y$1,google_form!$1:$196,$A40,FALSE)</f>
        <v>Zeng, J., Iida, Y., Matsunaga, T., and Shirai, T. 2022. Surface ocean CO2 concentration and air-sea flux estimate by machine learning with modelled variable trends. Front. Mar. Sci. 9, 989233. https://doi.org/10.3389/fmars.2022.989233</v>
      </c>
    </row>
    <row r="41">
      <c r="A41" s="29">
        <v>40.0</v>
      </c>
      <c r="B41" s="29" t="str">
        <f>HLOOKUP(B$1,google_form!$1:$216,$A41,FALSE)</f>
        <v>Gridded surface</v>
      </c>
      <c r="C41" s="29" t="str">
        <f>HLOOKUP(C$1,google_form!$1:$216,$A41,FALSE)</f>
        <v>CSIR-ML6</v>
      </c>
      <c r="D41" s="29" t="str">
        <f>HLOOKUP(D$1,google_form!$1:$216,$A41,FALSE)</f>
        <v>Gregor et al. (2019)</v>
      </c>
      <c r="E41" s="33" t="str">
        <f>HLOOKUP(E$1,google_form!$1:$216,$A41,FALSE)</f>
        <v>https://gmd.copernicus.org/articles/12/5113/2019/gmd-12-5113-2019-f09-web.png</v>
      </c>
      <c r="F41" s="29" t="str">
        <f t="shared" ref="F41:G41" si="156">if(ISBLANK($C41), "", F$1)</f>
        <v>fa-solid fa-globe</v>
      </c>
      <c r="G41" s="29" t="str">
        <f t="shared" si="156"/>
        <v>Spatial domains</v>
      </c>
      <c r="H41" s="29" t="str">
        <f>HLOOKUP(H$1,google_form!$1:$196,$A41,FALSE)</f>
        <v>Open ocean, Surface</v>
      </c>
      <c r="I41" s="29" t="str">
        <f t="shared" ref="I41:J41" si="157">if(ISBLANK($C41), "", I$1)</f>
        <v>fa-solid fa-hourglass-start</v>
      </c>
      <c r="J41" s="29" t="str">
        <f t="shared" si="157"/>
        <v>Temporal resolution</v>
      </c>
      <c r="K41" s="29" t="str">
        <f>HLOOKUP(K$1,google_form!$1:$196,$A41,FALSE)</f>
        <v>monthly</v>
      </c>
      <c r="L41" s="29" t="str">
        <f t="shared" ref="L41:M41" si="158">if(ISBLANK($C41), "", L$1)</f>
        <v>fa-solid fa-ruler-horizontal</v>
      </c>
      <c r="M41" s="29" t="str">
        <f t="shared" si="158"/>
        <v>Spatial resolution</v>
      </c>
      <c r="N41" s="34" t="str">
        <f>HLOOKUP(N$1,google_form!$1:$196,$A41,FALSE)</f>
        <v>1° x 1°</v>
      </c>
      <c r="O41" s="29" t="str">
        <f t="shared" ref="O41:P41" si="159">if(ISBLANK($C41), "", O$1)</f>
        <v>fa-solid fa-calendar-days</v>
      </c>
      <c r="P41" s="29" t="str">
        <f t="shared" si="159"/>
        <v>Period</v>
      </c>
      <c r="Q41" s="29" t="str">
        <f>HLOOKUP(Q$1,google_form!$1:$196,$A41,FALSE)</f>
        <v>1982 - 2020</v>
      </c>
      <c r="R41" s="29" t="str">
        <f>HLOOKUP(R$1,google_form!$1:$196,$A41,FALSE)</f>
        <v>Various ML methods produce different results when data is sparse, but all still achieving roughly the same uncertainty</v>
      </c>
      <c r="S41" s="29" t="str">
        <f>HLOOKUP(S$1,google_form!$1:$196,$A41,FALSE)</f>
        <v>Gregor et al. (2019)</v>
      </c>
      <c r="T41" s="33" t="str">
        <f>HLOOKUP(T$1,google_form!$1:$196,$A41,FALSE)</f>
        <v>https://doi.org/10.5194/gmd-12-5113-2019</v>
      </c>
      <c r="U41" s="33" t="str">
        <f>HLOOKUP(U$1,google_form!$1:$196,$A41,FALSE)</f>
        <v>https://www.ncei.noaa.gov/data/oceans/ncei/ocads/metadata/0206205.html</v>
      </c>
      <c r="V41" s="29" t="str">
        <f t="shared" si="10"/>
        <v>Description</v>
      </c>
      <c r="W41" s="29" t="str">
        <f>HLOOKUP(W$1,google_form!$1:$196,$A41,FALSE)</f>
        <v>Provides monthly 1° × 1° estimates of surface pCO2 (Gregor et al., 2019a). The approach uses the conceptual two-step approach of clustering and performing regressions for each cluster as Landschützer et al. (2016). CSIR-ML6 investigates the efficacy of various machine learning (ML) methods in estimating surface pCO2, namely, feed-forward neural networks (FFNN), extremely randomized trees (ERT), gradient boosting machines (GBM), and support vector regression (SVR). It is found that the ensemble of all but the ERT method resulted in the best estimate, highlighting the fact that various ML methods do not produce the same outcome, particularly when data is sparse. Further, the variance between ensemble members can inform us about regions where uncertainty may be large due to methodological differences. Despite this, all methods achieve roughly the same uncertainty – a barrier, or wall beyond which the community has yet to overcome.</v>
      </c>
      <c r="X41" s="29" t="str">
        <f t="shared" si="11"/>
        <v>Reference</v>
      </c>
      <c r="Y41" s="29" t="str">
        <f>HLOOKUP(Y$1,google_form!$1:$196,$A41,FALSE)</f>
        <v>Gregor, L., Lebehot, A. D., Kok, S., and Scheel Monteiro, P. M.: A comparative assessment of the uncertainties of global surface ocean CO2 estimates using a machine-learning ensemble (CSIR-ML6 version 2019a) – have we hit the wall?, Geosci. Model Dev., 12, 5113–5136, https://doi.org/10.5194/gmd-12-5113-2019, 2019.</v>
      </c>
    </row>
    <row r="42">
      <c r="A42" s="29">
        <v>41.0</v>
      </c>
      <c r="B42" s="29" t="str">
        <f>HLOOKUP(B$1,google_form!$1:$216,$A42,FALSE)</f>
        <v>Gridded surface</v>
      </c>
      <c r="C42" s="29" t="str">
        <f>HLOOKUP(C$1,google_form!$1:$216,$A42,FALSE)</f>
        <v>Stepwise-FFNN</v>
      </c>
      <c r="D42" s="29" t="str">
        <f>HLOOKUP(D$1,google_form!$1:$216,$A42,FALSE)</f>
        <v>Zhong et al. (2022)</v>
      </c>
      <c r="E42" s="33" t="str">
        <f>HLOOKUP(E$1,google_form!$1:$216,$A42,FALSE)</f>
        <v>https://appletmsdc.qdio.ac.cn//files/metadata/images/2025-08-14_1955061943601487874/DATA20251000212_11415094_1.jpg</v>
      </c>
      <c r="F42" s="29" t="str">
        <f t="shared" ref="F42:G42" si="160">if(ISBLANK($C42), "", F$1)</f>
        <v>fa-solid fa-globe</v>
      </c>
      <c r="G42" s="29" t="str">
        <f t="shared" si="160"/>
        <v>Spatial domains</v>
      </c>
      <c r="H42" s="29" t="str">
        <f>HLOOKUP(H$1,google_form!$1:$196,$A42,FALSE)</f>
        <v>Open ocean, Surface</v>
      </c>
      <c r="I42" s="29" t="str">
        <f t="shared" ref="I42:J42" si="161">if(ISBLANK($C42), "", I$1)</f>
        <v>fa-solid fa-hourglass-start</v>
      </c>
      <c r="J42" s="29" t="str">
        <f t="shared" si="161"/>
        <v>Temporal resolution</v>
      </c>
      <c r="K42" s="29" t="str">
        <f>HLOOKUP(K$1,google_form!$1:$196,$A42,FALSE)</f>
        <v>monthly</v>
      </c>
      <c r="L42" s="29" t="str">
        <f t="shared" ref="L42:M42" si="162">if(ISBLANK($C42), "", L$1)</f>
        <v>fa-solid fa-ruler-horizontal</v>
      </c>
      <c r="M42" s="29" t="str">
        <f t="shared" si="162"/>
        <v>Spatial resolution</v>
      </c>
      <c r="N42" s="34" t="str">
        <f>HLOOKUP(N$1,google_form!$1:$196,$A42,FALSE)</f>
        <v>1° x 1°</v>
      </c>
      <c r="O42" s="29" t="str">
        <f t="shared" ref="O42:P42" si="163">if(ISBLANK($C42), "", O$1)</f>
        <v>fa-solid fa-calendar-days</v>
      </c>
      <c r="P42" s="29" t="str">
        <f t="shared" si="163"/>
        <v>Period</v>
      </c>
      <c r="Q42" s="29" t="str">
        <f>HLOOKUP(Q$1,google_form!$1:$196,$A42,FALSE)</f>
        <v>1992 - 2024</v>
      </c>
      <c r="R42" s="29" t="str">
        <f>HLOOKUP(R$1,google_form!$1:$196,$A42,FALSE)</f>
        <v>ML-based selection of predictors considering regional differences of pCO2 drivers</v>
      </c>
      <c r="S42" s="29" t="str">
        <f>HLOOKUP(S$1,google_form!$1:$196,$A42,FALSE)</f>
        <v>Zhong et al. (2022)</v>
      </c>
      <c r="T42" s="33" t="str">
        <f>HLOOKUP(T$1,google_form!$1:$196,$A42,FALSE)</f>
        <v> http://doi.org/10.12157/IOCAS.20250814.001</v>
      </c>
      <c r="U42" s="33" t="str">
        <f>HLOOKUP(U$1,google_form!$1:$196,$A42,FALSE)</f>
        <v> http://doi.org/10.12157/IOCAS.20250814.001</v>
      </c>
      <c r="V42" s="29" t="str">
        <f t="shared" si="10"/>
        <v>Description</v>
      </c>
      <c r="W42" s="29" t="str">
        <f>HLOOKUP(W$1,google_form!$1:$196,$A42,FALSE)</f>
        <v>A monthly global 1° × 1° surface ocean pCO2 product from January 1992 to December 2024, constructed by combining the stepwise regression algorithm and a feed-forward neural network (FFNN) to select predictors of pCO2 based on the mean absolute error in each of the 11 biogeochemical provinces defined by the self-organizing map (SOM) method. </v>
      </c>
      <c r="X42" s="29" t="str">
        <f t="shared" si="11"/>
        <v>Reference</v>
      </c>
      <c r="Y42" s="29" t="str">
        <f>HLOOKUP(Y$1,google_form!$1:$196,$A42,FALSE)</f>
        <v>Zhong, G., Li, X., Song, J., Qu, B., Wang, F., Wang, Y., ... &amp; Duan, L. 2022. Reconstruction of global surface ocean pCO2 using region-specific predictors based on a stepwise FFNN regression algorithm, Biogeosciences, 19, 845-859, https://doi.org/10.5194/bg-19-845-2022.</v>
      </c>
    </row>
    <row r="43">
      <c r="A43" s="29">
        <v>42.0</v>
      </c>
      <c r="B43" s="29" t="str">
        <f>HLOOKUP(B$1,google_form!$1:$216,$A43,FALSE)</f>
        <v>Gridded surface</v>
      </c>
      <c r="C43" s="29" t="str">
        <f>HLOOKUP(C$1,google_form!$1:$216,$A43,FALSE)</f>
        <v>AOML-ET</v>
      </c>
      <c r="D43" s="29" t="str">
        <f>HLOOKUP(D$1,google_form!$1:$216,$A43,FALSE)</f>
        <v>Wanninkhof et al. (2015)</v>
      </c>
      <c r="E43" s="33" t="str">
        <f>HLOOKUP(E$1,google_form!$1:$216,$A43,FALSE)</f>
        <v>https://www.ncei.noaa.gov/data/oceans/archive/arc0235/0298989/2.2/about/0298989_preview.jpg</v>
      </c>
      <c r="F43" s="29" t="str">
        <f t="shared" ref="F43:G43" si="164">if(ISBLANK($C43), "", F$1)</f>
        <v>fa-solid fa-globe</v>
      </c>
      <c r="G43" s="29" t="str">
        <f t="shared" si="164"/>
        <v>Spatial domains</v>
      </c>
      <c r="H43" s="29" t="str">
        <f>HLOOKUP(H$1,google_form!$1:$196,$A43,FALSE)</f>
        <v>Open ocean, Surface</v>
      </c>
      <c r="I43" s="29" t="str">
        <f t="shared" ref="I43:J43" si="165">if(ISBLANK($C43), "", I$1)</f>
        <v>fa-solid fa-hourglass-start</v>
      </c>
      <c r="J43" s="29" t="str">
        <f t="shared" si="165"/>
        <v>Temporal resolution</v>
      </c>
      <c r="K43" s="29" t="str">
        <f>HLOOKUP(K$1,google_form!$1:$196,$A43,FALSE)</f>
        <v>monthly, climatology</v>
      </c>
      <c r="L43" s="29" t="str">
        <f t="shared" ref="L43:M43" si="166">if(ISBLANK($C43), "", L$1)</f>
        <v>fa-solid fa-ruler-horizontal</v>
      </c>
      <c r="M43" s="29" t="str">
        <f t="shared" si="166"/>
        <v>Spatial resolution</v>
      </c>
      <c r="N43" s="34" t="str">
        <f>HLOOKUP(N$1,google_form!$1:$196,$A43,FALSE)</f>
        <v>1° x 1°</v>
      </c>
      <c r="O43" s="29" t="str">
        <f t="shared" ref="O43:P43" si="167">if(ISBLANK($C43), "", O$1)</f>
        <v>fa-solid fa-calendar-days</v>
      </c>
      <c r="P43" s="29" t="str">
        <f t="shared" si="167"/>
        <v>Period</v>
      </c>
      <c r="Q43" s="29" t="str">
        <f>HLOOKUP(Q$1,google_form!$1:$196,$A43,FALSE)</f>
        <v>1998 - 2023</v>
      </c>
      <c r="R43" s="29" t="str">
        <f>HLOOKUP(R$1,google_form!$1:$196,$A43,FALSE)</f>
        <v>Monthly global sea-air CO2 flux maps in modern era</v>
      </c>
      <c r="S43" s="29" t="str">
        <f>HLOOKUP(S$1,google_form!$1:$196,$A43,FALSE)</f>
        <v>Wanninkhof et al. (2015)</v>
      </c>
      <c r="T43" s="33" t="str">
        <f>HLOOKUP(T$1,google_form!$1:$196,$A43,FALSE)</f>
        <v>https://doi.org/10.1029/2024GB008315</v>
      </c>
      <c r="U43" s="33" t="str">
        <f>HLOOKUP(U$1,google_form!$1:$196,$A43,FALSE)</f>
        <v>https://www.ncei.noaa.gov/data/oceans/ncei/ocads/metadata/0298989.html</v>
      </c>
      <c r="V43" s="29" t="str">
        <f t="shared" si="10"/>
        <v>Description</v>
      </c>
      <c r="W43" s="29" t="str">
        <f>HLOOKUP(W$1,google_form!$1:$196,$A43,FALSE)</f>
        <v>Wanninkhof et al. (2025) developed a monthly global ocean data product of seawater pCO2 and sea-air CO2 fluxes, referred to as AOML-ET, using an extremely randomized trees (ET) machine learning technique. These maps are created on 1° × 1° spatial grids, providing global surface ocean coverages from 1998 to 2023. AOML-ET incorporates several predictor variables, including time, location, SST, SSS, MLD, and chlorophyll-a. The model was trained using the v2020 and v2023 releases of the SOCAT data product (No. 1). Sea-air CO2 fluxes were calculated using the air-sea CO2 partial pressure difference (∆pCO2) and a bulk gas transfer formulation incorporating windspeed. </v>
      </c>
      <c r="X43" s="29" t="str">
        <f t="shared" si="11"/>
        <v>Reference</v>
      </c>
      <c r="Y43" s="29" t="str">
        <f>HLOOKUP(Y$1,google_form!$1:$196,$A43,FALSE)</f>
        <v>Wanninkhof, R., Triñanes, J., Pierrot, D., Munro, D. R., Sweeney, C., and Fay, A. R.: Trends in sea-air CO2 fluxes and sensitivities to atmospheric forcing using an extremely randomized trees machine learning approach, Global Biogeochemical Cycles, 39, https://doi.org/10.1029/2024GB008315, 2025.</v>
      </c>
    </row>
    <row r="44">
      <c r="A44" s="29">
        <v>43.0</v>
      </c>
      <c r="B44" s="29" t="str">
        <f>HLOOKUP(B$1,google_form!$1:$216,$A44,FALSE)</f>
        <v>Gridded surface</v>
      </c>
      <c r="C44" s="29" t="str">
        <f>HLOOKUP(C$1,google_form!$1:$216,$A44,FALSE)</f>
        <v>ULB-SOM-FFN-Coastalv2.1</v>
      </c>
      <c r="D44" s="29" t="str">
        <f>HLOOKUP(D$1,google_form!$1:$216,$A44,FALSE)</f>
        <v>Roobaert et al. (2024)</v>
      </c>
      <c r="E44" s="33" t="str">
        <f>HLOOKUP(E$1,google_form!$1:$216,$A44,FALSE)</f>
        <v>https://essd.copernicus.org/articles/16/421/2024/essd-16-421-2024-f01-web.png</v>
      </c>
      <c r="F44" s="29" t="str">
        <f t="shared" ref="F44:G44" si="168">if(ISBLANK($C44), "", F$1)</f>
        <v>fa-solid fa-globe</v>
      </c>
      <c r="G44" s="29" t="str">
        <f t="shared" si="168"/>
        <v>Spatial domains</v>
      </c>
      <c r="H44" s="29" t="str">
        <f>HLOOKUP(H$1,google_form!$1:$196,$A44,FALSE)</f>
        <v>Coastal ocean</v>
      </c>
      <c r="I44" s="29" t="str">
        <f t="shared" ref="I44:J44" si="169">if(ISBLANK($C44), "", I$1)</f>
        <v>fa-solid fa-hourglass-start</v>
      </c>
      <c r="J44" s="29" t="str">
        <f t="shared" si="169"/>
        <v>Temporal resolution</v>
      </c>
      <c r="K44" s="29" t="str">
        <f>HLOOKUP(K$1,google_form!$1:$196,$A44,FALSE)</f>
        <v>monthly</v>
      </c>
      <c r="L44" s="29" t="str">
        <f t="shared" ref="L44:M44" si="170">if(ISBLANK($C44), "", L$1)</f>
        <v>fa-solid fa-ruler-horizontal</v>
      </c>
      <c r="M44" s="29" t="str">
        <f t="shared" si="170"/>
        <v>Spatial resolution</v>
      </c>
      <c r="N44" s="34" t="str">
        <f>HLOOKUP(N$1,google_form!$1:$196,$A44,FALSE)</f>
        <v>0.25° x 0.25°</v>
      </c>
      <c r="O44" s="29" t="str">
        <f t="shared" ref="O44:P44" si="171">if(ISBLANK($C44), "", O$1)</f>
        <v>fa-solid fa-calendar-days</v>
      </c>
      <c r="P44" s="29" t="str">
        <f t="shared" si="171"/>
        <v>Period</v>
      </c>
      <c r="Q44" s="29" t="str">
        <f>HLOOKUP(Q$1,google_form!$1:$196,$A44,FALSE)</f>
        <v>1982-2020</v>
      </c>
      <c r="R44" s="29" t="str">
        <f>HLOOKUP(R$1,google_form!$1:$196,$A44,FALSE)</f>
        <v>Global temporal trends of coastal pCO2 and air-sea CO2 fluxes based on SOCATv2022 with data collected from 1982–2020</v>
      </c>
      <c r="S44" s="29" t="str">
        <f>HLOOKUP(S$1,google_form!$1:$196,$A44,FALSE)</f>
        <v>Roobaert et al. (2024)</v>
      </c>
      <c r="T44" s="33" t="str">
        <f>HLOOKUP(T$1,google_form!$1:$196,$A44,FALSE)</f>
        <v>https://doi.org/10.5194/essd-16-421-2024</v>
      </c>
      <c r="U44" s="33" t="str">
        <f>HLOOKUP(U$1,google_form!$1:$196,$A44,FALSE)</f>
        <v>https://doi.org/10.25921/4sde-p068</v>
      </c>
      <c r="V44" s="29" t="str">
        <f t="shared" si="10"/>
        <v>Description</v>
      </c>
      <c r="W44" s="29" t="str">
        <f>HLOOKUP(W$1,google_form!$1:$196,$A44,FALSE)</f>
        <v>Roobaert et al. (2024) present high-resolution (0.25° × 0.25° grid) monthly maps showing the distribution of sea surface pCO2 across the global coastal oceans, spanning from 1982 to 2020. This product (ULB-SOM-FFN-coastalv2.1) builds upon the work by Laruelle et al. (2017), incorporating a two-step methodology that utilizes Self Organizing Maps (SOM) and Feed Forward Networks (FFN). This updated product now captures temporal variability, enabling the assessment of interannual variability and long-term trends in coastal air-sea CO2 exchange, unlike the product by Laruelle et al. (2017), which only offers a climatology for a short period (1998-2015). The enhancements include additional environmental predictors and an expanded dataset for training and validation, featuring approximately 18 million direct coastal observations from the SOCAT database, specifically the SOCATv2022 release (Bakker et al., 2016). The product is available at OCADS: https://www.ncei.noaa.gov/data/oceans/ncei/ocads/metadata/0279118.html (Roobaert et al., 2023).</v>
      </c>
      <c r="X44" s="29" t="str">
        <f t="shared" si="11"/>
        <v>Reference</v>
      </c>
      <c r="Y44" s="29" t="str">
        <f>HLOOKUP(Y$1,google_form!$1:$196,$A44,FALSE)</f>
        <v>Roobaert, A., Regnier, P., Landschützer, P., and Laruelle, G. G.: A novel sea surface pCO2-product for the global coastal ocean resolving trends over 1982–2020, Earth System Science Data, 16(1), 421–441, https://doi.org/10.5194/essd-16-421-2024, 2024.</v>
      </c>
    </row>
    <row r="45">
      <c r="A45" s="29">
        <v>44.0</v>
      </c>
      <c r="B45" s="29" t="str">
        <f>HLOOKUP(B$1,google_form!$1:$216,$A45,FALSE)</f>
        <v>Gridded surface</v>
      </c>
      <c r="C45" s="29" t="str">
        <f>HLOOKUP(C$1,google_form!$1:$216,$A45,FALSE)</f>
        <v>RFR-LME</v>
      </c>
      <c r="D45" s="29" t="str">
        <f>HLOOKUP(D$1,google_form!$1:$216,$A45,FALSE)</f>
        <v>Sharp et al. (2024)</v>
      </c>
      <c r="E45" s="33" t="str">
        <f>HLOOKUP(E$1,google_form!$1:$216,$A45,FALSE)</f>
        <v>https://i.ibb.co/ynxb1Hry/Screenshot-2025-11-07-at-09-32-32.png</v>
      </c>
      <c r="F45" s="29" t="str">
        <f t="shared" ref="F45:G45" si="172">if(ISBLANK($C45), "", F$1)</f>
        <v>fa-solid fa-globe</v>
      </c>
      <c r="G45" s="29" t="str">
        <f t="shared" si="172"/>
        <v>Spatial domains</v>
      </c>
      <c r="H45" s="29" t="str">
        <f>HLOOKUP(H$1,google_form!$1:$196,$A45,FALSE)</f>
        <v>Coastal ocean, Surface, Regional</v>
      </c>
      <c r="I45" s="29" t="str">
        <f t="shared" ref="I45:J45" si="173">if(ISBLANK($C45), "", I$1)</f>
        <v>fa-solid fa-hourglass-start</v>
      </c>
      <c r="J45" s="29" t="str">
        <f t="shared" si="173"/>
        <v>Temporal resolution</v>
      </c>
      <c r="K45" s="29" t="str">
        <f>HLOOKUP(K$1,google_form!$1:$196,$A45,FALSE)</f>
        <v>monthly</v>
      </c>
      <c r="L45" s="29" t="str">
        <f t="shared" ref="L45:M45" si="174">if(ISBLANK($C45), "", L$1)</f>
        <v>fa-solid fa-ruler-horizontal</v>
      </c>
      <c r="M45" s="29" t="str">
        <f t="shared" si="174"/>
        <v>Spatial resolution</v>
      </c>
      <c r="N45" s="34" t="str">
        <f>HLOOKUP(N$1,google_form!$1:$196,$A45,FALSE)</f>
        <v>0.25° x 0.25°</v>
      </c>
      <c r="O45" s="29" t="str">
        <f t="shared" ref="O45:P45" si="175">if(ISBLANK($C45), "", O$1)</f>
        <v>fa-solid fa-calendar-days</v>
      </c>
      <c r="P45" s="29" t="str">
        <f t="shared" si="175"/>
        <v>Period</v>
      </c>
      <c r="Q45" s="29" t="str">
        <f>HLOOKUP(Q$1,google_form!$1:$196,$A45,FALSE)</f>
        <v>1998 - 2024</v>
      </c>
      <c r="R45" s="29" t="str">
        <f>HLOOKUP(R$1,google_form!$1:$196,$A45,FALSE)</f>
        <v>Temporal trends of OA indicators and estimated uncertainties across 11 U.S. Large Marine Ecosystems (LMEs), with monthly coverage from 1998–2024.</v>
      </c>
      <c r="S45" s="29" t="str">
        <f>HLOOKUP(S$1,google_form!$1:$196,$A45,FALSE)</f>
        <v>Sharp et al. (2024)</v>
      </c>
      <c r="T45" s="33" t="str">
        <f>HLOOKUP(T$1,google_form!$1:$196,$A45,FALSE)</f>
        <v>https://doi.org/10.1038/s41597-024-03530-7</v>
      </c>
      <c r="U45" s="33" t="str">
        <f>HLOOKUP(U$1,google_form!$1:$196,$A45,FALSE)</f>
        <v>https://www.ncei.noaa.gov/data/oceans/ncei/ocads/metadata/0287551.html</v>
      </c>
      <c r="V45" s="29" t="str">
        <f t="shared" si="10"/>
        <v>Description</v>
      </c>
      <c r="W45" s="29" t="str">
        <f>HLOOKUP(W$1,google_form!$1:$196,$A45,FALSE)</f>
        <v>A data product delineating the temporal trends of ocean acidification indicators mapped on a 0.25°× 0.25° spatial grid, across eleven U.S. Large Marine Ecosystems (LMEs), with monthly coverage from 1998–2024. The method combines Gaussian Mixture Models to categorize the data into environmentally similar subregions, Random Forest Regressions (RFRs) for the spatial and temporal extrapolation of observational fCO2 data, and regressions to estimate total alkalinity (Carter et al. 2021) to provide a second carbonate system constraint for the computation of multiple ocean acidification indicators.</v>
      </c>
      <c r="X45" s="29" t="str">
        <f t="shared" si="11"/>
        <v>Reference</v>
      </c>
      <c r="Y45" s="29" t="str">
        <f>HLOOKUP(Y$1,google_form!$1:$196,$A45,FALSE)</f>
        <v>Sharp, J. D., Jiang, L.-Q., Carter, B. R., Lavin, P. D., Yoo, H., and Cross, S. L., 2024. A mapped dataset of surface ocean acidification indicators in large marine ecosystems of the United States, Sci. Data, 11, 715,  https://doi.org/10.1038/s41597-024-03530-7.</v>
      </c>
    </row>
    <row r="46">
      <c r="A46" s="29">
        <v>45.0</v>
      </c>
      <c r="B46" s="29" t="str">
        <f>HLOOKUP(B$1,google_form!$1:$216,$A46,FALSE)</f>
        <v>Gridded surface</v>
      </c>
      <c r="C46" s="29" t="str">
        <f>HLOOKUP(C$1,google_form!$1:$216,$A46,FALSE)</f>
        <v>ReCAD-NAACOM-pCO2</v>
      </c>
      <c r="D46" s="29" t="str">
        <f>HLOOKUP(D$1,google_form!$1:$216,$A46,FALSE)</f>
        <v>Wu et al. (2025)</v>
      </c>
      <c r="E46" s="33" t="str">
        <f>HLOOKUP(E$1,google_form!$1:$216,$A46,FALSE)</f>
        <v>https://essd.copernicus.org/articles/17/43/2025/essd-17-43-2025-avatar-web.png</v>
      </c>
      <c r="F46" s="29" t="str">
        <f t="shared" ref="F46:G46" si="176">if(ISBLANK($C46), "", F$1)</f>
        <v>fa-solid fa-globe</v>
      </c>
      <c r="G46" s="29" t="str">
        <f t="shared" si="176"/>
        <v>Spatial domains</v>
      </c>
      <c r="H46" s="29" t="str">
        <f>HLOOKUP(H$1,google_form!$1:$196,$A46,FALSE)</f>
        <v>Coastal ocean</v>
      </c>
      <c r="I46" s="29" t="str">
        <f t="shared" ref="I46:J46" si="177">if(ISBLANK($C46), "", I$1)</f>
        <v>fa-solid fa-hourglass-start</v>
      </c>
      <c r="J46" s="29" t="str">
        <f t="shared" si="177"/>
        <v>Temporal resolution</v>
      </c>
      <c r="K46" s="29" t="str">
        <f>HLOOKUP(K$1,google_form!$1:$196,$A46,FALSE)</f>
        <v>monthly</v>
      </c>
      <c r="L46" s="29" t="str">
        <f t="shared" ref="L46:M46" si="178">if(ISBLANK($C46), "", L$1)</f>
        <v>fa-solid fa-ruler-horizontal</v>
      </c>
      <c r="M46" s="29" t="str">
        <f t="shared" si="178"/>
        <v>Spatial resolution</v>
      </c>
      <c r="N46" s="34" t="str">
        <f>HLOOKUP(N$1,google_form!$1:$196,$A46,FALSE)</f>
        <v>0.25° x 0.25°</v>
      </c>
      <c r="O46" s="29" t="str">
        <f t="shared" ref="O46:P46" si="179">if(ISBLANK($C46), "", O$1)</f>
        <v>fa-solid fa-calendar-days</v>
      </c>
      <c r="P46" s="29" t="str">
        <f t="shared" si="179"/>
        <v>Period</v>
      </c>
      <c r="Q46" s="29" t="str">
        <f>HLOOKUP(Q$1,google_form!$1:$196,$A46,FALSE)</f>
        <v>1993-2021</v>
      </c>
      <c r="R46" s="29" t="str">
        <f>HLOOKUP(R$1,google_form!$1:$196,$A46,FALSE)</f>
        <v> Sea surface pCO2 in the North American Atlantic Coastal Ocean
Margins (NAACOM)</v>
      </c>
      <c r="S46" s="29" t="str">
        <f>HLOOKUP(S$1,google_form!$1:$196,$A46,FALSE)</f>
        <v>Wu et al. (2025)</v>
      </c>
      <c r="T46" s="33" t="str">
        <f>HLOOKUP(T$1,google_form!$1:$196,$A46,FALSE)</f>
        <v>https://doi.org/10.5194/essd-17-43-2025</v>
      </c>
      <c r="U46" s="33" t="str">
        <f>HLOOKUP(U$1,google_form!$1:$196,$A46,FALSE)</f>
        <v>https://doi.org/10.5281/zenodo.11500974</v>
      </c>
      <c r="V46" s="29" t="str">
        <f t="shared" si="10"/>
        <v>Description</v>
      </c>
      <c r="W46" s="29" t="str">
        <f>HLOOKUP(W$1,google_form!$1:$196,$A46,FALSE)</f>
        <v>Wu et al. (2025) developed a reconstructed pCO2 product for the North American Atlantic Coastal Ocean Margins (NAACOM), spanning from the Gulf of Mexico/Gulf of America to the Grand Banks, called the Reconstructed Coastal Acidification Database-pCO2 (ReCAD-NAACOM-pCO2). This product employed a two-step approach combining random forest regression and linear regression to generate monthly pCO2 data at 0.25° spatial resolution from 1993–2021. The model was trained using SOCAT v2023 observations as ground-truth values, incorporating various satellite-derived and reanalysis environmental variables known to influence sea surface pCO2. </v>
      </c>
      <c r="X46" s="29" t="str">
        <f t="shared" si="11"/>
        <v>Reference</v>
      </c>
      <c r="Y46" s="29" t="str">
        <f>HLOOKUP(Y$1,google_form!$1:$196,$A46,FALSE)</f>
        <v>Wu, Z., Lu, W., Roobaert, A., Song, L., Yan, X.-H., and Cai, W.-J.: A machine-learning reconstruction of sea surface pCO2 in the North American Atlantic Coastal Ocean Margin from 1993 to 2021, Earth Syst. Sci. Data. https://doi.org/10.5194/essd-17-43-2025, 2025. </v>
      </c>
    </row>
    <row r="47">
      <c r="A47" s="29">
        <v>46.0</v>
      </c>
      <c r="B47" s="29" t="str">
        <f>HLOOKUP(B$1,google_form!$1:$216,$A47,FALSE)</f>
        <v>Gridded surface</v>
      </c>
      <c r="C47" s="29" t="str">
        <f>HLOOKUP(C$1,google_form!$1:$216,$A47,FALSE)</f>
        <v>Gridded Surface OA Indicators in the Northern Caribbean Sea</v>
      </c>
      <c r="D47" s="29" t="str">
        <f>HLOOKUP(D$1,google_form!$1:$216,$A47,FALSE)</f>
        <v>Wanninkhof et al. (2020)</v>
      </c>
      <c r="E47" s="33" t="str">
        <f>HLOOKUP(E$1,google_form!$1:$216,$A47,FALSE)</f>
        <v>https://essd.copernicus.org/articles/12/1489/2020/essd-12-1489-2020-avatar-web.png</v>
      </c>
      <c r="F47" s="29" t="str">
        <f t="shared" ref="F47:G47" si="180">if(ISBLANK($C47), "", F$1)</f>
        <v>fa-solid fa-globe</v>
      </c>
      <c r="G47" s="29" t="str">
        <f t="shared" si="180"/>
        <v>Spatial domains</v>
      </c>
      <c r="H47" s="29" t="str">
        <f>HLOOKUP(H$1,google_form!$1:$196,$A47,FALSE)</f>
        <v>Coastal ocean </v>
      </c>
      <c r="I47" s="29" t="str">
        <f t="shared" ref="I47:J47" si="181">if(ISBLANK($C47), "", I$1)</f>
        <v>fa-solid fa-hourglass-start</v>
      </c>
      <c r="J47" s="29" t="str">
        <f t="shared" si="181"/>
        <v>Temporal resolution</v>
      </c>
      <c r="K47" s="29" t="str">
        <f>HLOOKUP(K$1,google_form!$1:$196,$A47,FALSE)</f>
        <v>monthly, climatology</v>
      </c>
      <c r="L47" s="29" t="str">
        <f t="shared" ref="L47:M47" si="182">if(ISBLANK($C47), "", L$1)</f>
        <v>fa-solid fa-ruler-horizontal</v>
      </c>
      <c r="M47" s="29" t="str">
        <f t="shared" si="182"/>
        <v>Spatial resolution</v>
      </c>
      <c r="N47" s="34" t="str">
        <f>HLOOKUP(N$1,google_form!$1:$196,$A47,FALSE)</f>
        <v>1° x 1°</v>
      </c>
      <c r="O47" s="29" t="str">
        <f t="shared" ref="O47:P47" si="183">if(ISBLANK($C47), "", O$1)</f>
        <v>fa-solid fa-calendar-days</v>
      </c>
      <c r="P47" s="29" t="str">
        <f t="shared" si="183"/>
        <v>Period</v>
      </c>
      <c r="Q47" s="29" t="str">
        <f>HLOOKUP(Q$1,google_form!$1:$196,$A47,FALSE)</f>
        <v>2002 - 2019</v>
      </c>
      <c r="R47" s="29" t="str">
        <f>HLOOKUP(R$1,google_form!$1:$196,$A47,FALSE)</f>
        <v>A 17-year record of  fCO2, TA, pH, Ωarag, and air-sea CO2 flux in the Caribbean Sea </v>
      </c>
      <c r="S47" s="29" t="str">
        <f>HLOOKUP(S$1,google_form!$1:$196,$A47,FALSE)</f>
        <v>Wanninkhof et al. (2020)</v>
      </c>
      <c r="T47" s="33" t="str">
        <f>HLOOKUP(T$1,google_form!$1:$196,$A47,FALSE)</f>
        <v>https://doi.org/10.5194/essd-12-1489-2020</v>
      </c>
      <c r="U47" s="33" t="str">
        <f>HLOOKUP(U$1,google_form!$1:$196,$A47,FALSE)</f>
        <v>https://www.ncei.noaa.gov/data/oceans/ncei/ocads/metadata/0207749.html </v>
      </c>
      <c r="V47" s="29" t="str">
        <f t="shared" si="10"/>
        <v>Description</v>
      </c>
      <c r="W47" s="29" t="str">
        <f>HLOOKUP(W$1,google_form!$1:$196,$A47,FALSE)</f>
        <v>This dataset contains a high-quality dataset of derived products from over a million observations of surface water partial pressure/fugacity of carbon dioxide (pCO2w/fCO2w), for the Caribbean Sea, Gulf of Mexico/Gulf of America and North-West Atlantic Ocean covering the timespan from 2002-01-01 to 2019-12-30. The derived quantities include TA, acidity (pH), Ωarag and air-sea CO2 flux (Wanninkhof et al., 2020). </v>
      </c>
      <c r="X47" s="29" t="str">
        <f t="shared" si="11"/>
        <v>Reference</v>
      </c>
      <c r="Y47" s="29" t="str">
        <f>HLOOKUP(Y$1,google_form!$1:$196,$A47,FALSE)</f>
        <v>Wanninkhof, R., Pierrot, D., Sullivan, K., Barbero, L., and Triñanes, J.: A 17-year dataset of surface water fugacity of CO2 along with calculated pH, aragonite saturation state and air–sea CO2 fluxes in the northern Caribbean Sea, Earth Syst. Sci. Data, 12, 1489–1509, https://doi.org/10.5194/essd-12-1489-2020, 2020.</v>
      </c>
    </row>
    <row r="48">
      <c r="A48" s="29">
        <v>47.0</v>
      </c>
      <c r="B48" s="29" t="str">
        <f>HLOOKUP(B$1,google_form!$1:$216,$A48,FALSE)</f>
        <v>Gridded surface</v>
      </c>
      <c r="C48" s="29" t="str">
        <f>HLOOKUP(C$1,google_form!$1:$216,$A48,FALSE)</f>
        <v>OA Data in the Gulf of Mexico/Gulf of America and Wider Caribbean</v>
      </c>
      <c r="D48" s="29" t="str">
        <f>HLOOKUP(D$1,google_form!$1:$216,$A48,FALSE)</f>
        <v>van Hooidonk (2022)</v>
      </c>
      <c r="E48" s="33" t="str">
        <f>HLOOKUP(E$1,google_form!$1:$216,$A48,FALSE)</f>
        <v>https://upload.wikimedia.org/wikipedia/commons/thumb/5/59/Aomlogo.svg/330px-Aomlogo.svg.png</v>
      </c>
      <c r="F48" s="29" t="str">
        <f t="shared" ref="F48:G48" si="184">if(ISBLANK($C48), "", F$1)</f>
        <v>fa-solid fa-globe</v>
      </c>
      <c r="G48" s="29" t="str">
        <f t="shared" si="184"/>
        <v>Spatial domains</v>
      </c>
      <c r="H48" s="29" t="str">
        <f>HLOOKUP(H$1,google_form!$1:$196,$A48,FALSE)</f>
        <v>Regional, Surface</v>
      </c>
      <c r="I48" s="29" t="str">
        <f t="shared" ref="I48:J48" si="185">if(ISBLANK($C48), "", I$1)</f>
        <v>fa-solid fa-hourglass-start</v>
      </c>
      <c r="J48" s="29" t="str">
        <f t="shared" si="185"/>
        <v>Temporal resolution</v>
      </c>
      <c r="K48" s="29" t="str">
        <f>HLOOKUP(K$1,google_form!$1:$196,$A48,FALSE)</f>
        <v>monthly</v>
      </c>
      <c r="L48" s="29" t="str">
        <f t="shared" ref="L48:M48" si="186">if(ISBLANK($C48), "", L$1)</f>
        <v>fa-solid fa-ruler-horizontal</v>
      </c>
      <c r="M48" s="29" t="str">
        <f t="shared" si="186"/>
        <v>Spatial resolution</v>
      </c>
      <c r="N48" s="34" t="str">
        <f>HLOOKUP(N$1,google_form!$1:$196,$A48,FALSE)</f>
        <v>0.088° x 0.088°</v>
      </c>
      <c r="O48" s="29" t="str">
        <f t="shared" ref="O48:P48" si="187">if(ISBLANK($C48), "", O$1)</f>
        <v>fa-solid fa-calendar-days</v>
      </c>
      <c r="P48" s="29" t="str">
        <f t="shared" si="187"/>
        <v>Period</v>
      </c>
      <c r="Q48" s="29" t="str">
        <f>HLOOKUP(Q$1,google_form!$1:$196,$A48,FALSE)</f>
        <v>2014-2020</v>
      </c>
      <c r="R48" s="33" t="str">
        <f>HLOOKUP(R$1,google_form!$1:$196,$A48,FALSE)</f>
        <v>https://upload.wikimedia.org/wikipedia/commons/thumb/5/59/Aomlogo.svg/330px-Aomlogo.svg.png</v>
      </c>
      <c r="S48" s="29" t="str">
        <f>HLOOKUP(S$1,google_form!$1:$196,$A48,FALSE)</f>
        <v>van Hooidonk (2022)</v>
      </c>
      <c r="T48" s="33" t="str">
        <f>HLOOKUP(T$1,google_form!$1:$196,$A48,FALSE)</f>
        <v>https://doi.org/10.25921/tt1c-dx53</v>
      </c>
      <c r="U48" s="33" t="str">
        <f>HLOOKUP(U$1,google_form!$1:$196,$A48,FALSE)</f>
        <v>https://www.ncei.noaa.gov/data/oceans/ncei/ocads/metadata/0245950.html</v>
      </c>
      <c r="V48" s="29" t="str">
        <f t="shared" si="10"/>
        <v>Description</v>
      </c>
      <c r="W48" s="29" t="str">
        <f>HLOOKUP(W$1,google_form!$1:$196,$A48,FALSE)</f>
        <v>The Acidification, Climate, and Coral Reef Ecosystems Team (ACCRETE) Lab within AOML’s Ocean Chemistry and Ecosystems Division (OCED) developed a data product for tracking OA in the Caribbean and Gulf of Mexico/Gulf of America from 2014 to 2020 (van Hooidonk, 2022). Utilizing satellite imagery and a data-assimilative hybrid model, the tool maps key indicators of the water's carbonate system, including pCO2, TA, pH, Ωarag, and Ωcalc. This innovation builds upon an update to the experimental OA Product Suite (OAPS) developed by NOAA's Coral Reef Watch. </v>
      </c>
      <c r="X48" s="29" t="str">
        <f t="shared" si="11"/>
        <v>Reference</v>
      </c>
      <c r="Y48" s="29" t="str">
        <f>HLOOKUP(Y$1,google_form!$1:$196,$A48,FALSE)</f>
        <v>van Hooidonk, R.: Modeled ocean acidification data in the Gulf of Mexico and wider Caribbean using satellites and climate model data for the Ocean Acidification Products for the Gulf of Mexico and East Coast project from 2014-01-01 to 2020-12-31 (NCEI Accession 0245950), NOAA National Centers for Environmental Information, Dataset, https://doi.org/10.25921/tt1c-dx53, 2022.</v>
      </c>
    </row>
    <row r="49">
      <c r="A49" s="29">
        <v>48.0</v>
      </c>
      <c r="B49" s="29" t="str">
        <f>HLOOKUP(B$1,google_form!$1:$216,$A49,FALSE)</f>
        <v>Gridded surface</v>
      </c>
      <c r="C49" s="29" t="str">
        <f>HLOOKUP(C$1,google_form!$1:$216,$A49,FALSE)</f>
        <v>pCO2 Climatology of the Baltic Sea</v>
      </c>
      <c r="D49" s="29" t="str">
        <f>HLOOKUP(D$1,google_form!$1:$216,$A49,FALSE)</f>
        <v>Bittig et al. (2024)</v>
      </c>
      <c r="E49" s="33" t="str">
        <f>HLOOKUP(E$1,google_form!$1:$216,$A49,FALSE)</f>
        <v>https://essd.copernicus.org/articles/16/753/2024/essd-16-753-2024-avatar-web.png</v>
      </c>
      <c r="F49" s="29" t="str">
        <f t="shared" ref="F49:G49" si="188">if(ISBLANK($C49), "", F$1)</f>
        <v>fa-solid fa-globe</v>
      </c>
      <c r="G49" s="29" t="str">
        <f t="shared" si="188"/>
        <v>Spatial domains</v>
      </c>
      <c r="H49" s="29" t="str">
        <f>HLOOKUP(H$1,google_form!$1:$196,$A49,FALSE)</f>
        <v>Regional</v>
      </c>
      <c r="I49" s="29" t="str">
        <f t="shared" ref="I49:J49" si="189">if(ISBLANK($C49), "", I$1)</f>
        <v>fa-solid fa-hourglass-start</v>
      </c>
      <c r="J49" s="29" t="str">
        <f t="shared" si="189"/>
        <v>Temporal resolution</v>
      </c>
      <c r="K49" s="29" t="str">
        <f>HLOOKUP(K$1,google_form!$1:$196,$A49,FALSE)</f>
        <v>monthly, climatology</v>
      </c>
      <c r="L49" s="29" t="str">
        <f t="shared" ref="L49:M49" si="190">if(ISBLANK($C49), "", L$1)</f>
        <v>fa-solid fa-ruler-horizontal</v>
      </c>
      <c r="M49" s="29" t="str">
        <f t="shared" si="190"/>
        <v>Spatial resolution</v>
      </c>
      <c r="N49" s="34" t="str">
        <f>HLOOKUP(N$1,google_form!$1:$196,$A49,FALSE)</f>
        <v>0.10° x 0.05°</v>
      </c>
      <c r="O49" s="29" t="str">
        <f t="shared" ref="O49:P49" si="191">if(ISBLANK($C49), "", O$1)</f>
        <v>fa-solid fa-calendar-days</v>
      </c>
      <c r="P49" s="29" t="str">
        <f t="shared" si="191"/>
        <v>Period</v>
      </c>
      <c r="Q49" s="29" t="str">
        <f>HLOOKUP(Q$1,google_form!$1:$196,$A49,FALSE)</f>
        <v>2003-2021</v>
      </c>
      <c r="R49" s="29" t="str">
        <f>HLOOKUP(R$1,google_form!$1:$196,$A49,FALSE)</f>
        <v>Does not use proxy variables for extrapolation. Spatial scales adjust locally to data density</v>
      </c>
      <c r="S49" s="29" t="str">
        <f>HLOOKUP(S$1,google_form!$1:$196,$A49,FALSE)</f>
        <v>Bittig et al. (2024)</v>
      </c>
      <c r="T49" s="33" t="str">
        <f>HLOOKUP(T$1,google_form!$1:$196,$A49,FALSE)</f>
        <v>https://doi.org/10.5194/essd-16-753-2024</v>
      </c>
      <c r="U49" s="33" t="str">
        <f>HLOOKUP(U$1,google_form!$1:$196,$A49,FALSE)</f>
        <v>https://doi.org/10.1594/PANGAEA.961119 </v>
      </c>
      <c r="V49" s="29" t="str">
        <f t="shared" si="10"/>
        <v>Description</v>
      </c>
      <c r="W49" s="29" t="str">
        <f>HLOOKUP(W$1,google_form!$1:$196,$A49,FALSE)</f>
        <v>Bittig et al. (2024) used biogeochemical model output to inform the mapping of sea surface pCO2 observations in the Baltic Sea and to build a mean monthly climatology for the period 2003 to 2021, with spatial resolutions of 0.10° × 0.05° (approximately 3 nautical miles in both directions). In a first step, spatial patterns of variability were extracted from 20 years of model surface pCO2 data by an EOF analysis. These spatial patterns were then used to map surface pCO2 observations from SOCAT (see above No. 1) (Bakker et al., 2014) onto the Baltic Sea domain. By using an ensemble approach with varying number of EOF patterns, the spatial scales of the mapping were locally adjusted based on the observation’s data density. Mapped monthly fields of pCO2 from 2003–2021 were combined for the product into a mean monthly climatology and a spatially-resolved linear trend. </v>
      </c>
      <c r="X49" s="29" t="str">
        <f t="shared" si="11"/>
        <v>Reference</v>
      </c>
      <c r="Y49" s="29" t="str">
        <f>HLOOKUP(Y$1,google_form!$1:$196,$A49,FALSE)</f>
        <v>Bittig, H.C., Jacobs, E., Neumann, T., and Rehder, G.: A regional pCO2 climatology of the Baltic Sea from in situ pCO2 observations and a model-based extrapolation approach, Earth Syst. Sci. Data, 16(2), 753–773, https://doi.org/10.5194/essd-16-753-2024, 2024.</v>
      </c>
    </row>
    <row r="50">
      <c r="A50" s="29">
        <v>49.0</v>
      </c>
      <c r="B50" s="29" t="str">
        <f>HLOOKUP(B$1,google_form!$1:$216,$A50,FALSE)</f>
        <v>Gridded surface</v>
      </c>
      <c r="C50" s="29" t="str">
        <f>HLOOKUP(C$1,google_form!$1:$216,$A50,FALSE)</f>
        <v>INCOIS-ReML</v>
      </c>
      <c r="D50" s="29" t="str">
        <f>HLOOKUP(D$1,google_form!$1:$216,$A50,FALSE)</f>
        <v>Joshi et al. (2024)</v>
      </c>
      <c r="E50" s="33" t="str">
        <f>HLOOKUP(E$1,google_form!$1:$216,$A50,FALSE)</f>
        <v>https://i.ibb.co/cShr87g7/pCO2-BoB.png</v>
      </c>
      <c r="F50" s="29" t="str">
        <f t="shared" ref="F50:G50" si="192">if(ISBLANK($C50), "", F$1)</f>
        <v>fa-solid fa-globe</v>
      </c>
      <c r="G50" s="29" t="str">
        <f t="shared" si="192"/>
        <v>Spatial domains</v>
      </c>
      <c r="H50" s="29" t="str">
        <f>HLOOKUP(H$1,google_form!$1:$196,$A50,FALSE)</f>
        <v>Regional</v>
      </c>
      <c r="I50" s="29" t="str">
        <f t="shared" ref="I50:J50" si="193">if(ISBLANK($C50), "", I$1)</f>
        <v>fa-solid fa-hourglass-start</v>
      </c>
      <c r="J50" s="29" t="str">
        <f t="shared" si="193"/>
        <v>Temporal resolution</v>
      </c>
      <c r="K50" s="29" t="str">
        <f>HLOOKUP(K$1,google_form!$1:$196,$A50,FALSE)</f>
        <v>monthly</v>
      </c>
      <c r="L50" s="29" t="str">
        <f t="shared" ref="L50:M50" si="194">if(ISBLANK($C50), "", L$1)</f>
        <v>fa-solid fa-ruler-horizontal</v>
      </c>
      <c r="M50" s="29" t="str">
        <f t="shared" si="194"/>
        <v>Spatial resolution</v>
      </c>
      <c r="N50" s="34" t="str">
        <f>HLOOKUP(N$1,google_form!$1:$196,$A50,FALSE)</f>
        <v>0.083° x 0.083°</v>
      </c>
      <c r="O50" s="29" t="str">
        <f t="shared" ref="O50:P50" si="195">if(ISBLANK($C50), "", O$1)</f>
        <v>fa-solid fa-calendar-days</v>
      </c>
      <c r="P50" s="29" t="str">
        <f t="shared" si="195"/>
        <v>Period</v>
      </c>
      <c r="Q50" s="29" t="str">
        <f>HLOOKUP(Q$1,google_form!$1:$196,$A50,FALSE)</f>
        <v>2015</v>
      </c>
      <c r="R50" s="29" t="str">
        <f>HLOOKUP(R$1,google_form!$1:$196,$A50,FALSE)</f>
        <v>This data product integrates publicly available open-ocean observations with data from the Indian EEZ region in the Bay of Bengal to provide surface pCO2 and air-sea CO2 flux estimates.</v>
      </c>
      <c r="S50" s="29" t="str">
        <f>HLOOKUP(S$1,google_form!$1:$196,$A50,FALSE)</f>
        <v>Joshi et al. (2024)</v>
      </c>
      <c r="T50" s="33" t="str">
        <f>HLOOKUP(T$1,google_form!$1:$196,$A50,FALSE)</f>
        <v>https://doi.org/10.1038/s41597-024-03236-w</v>
      </c>
      <c r="U50" s="33" t="str">
        <f>HLOOKUP(U$1,google_form!$1:$196,$A50,FALSE)</f>
        <v>https://www.ncei.noaa.gov/data/oceans/ncei/ocads/metadata/0307627.html</v>
      </c>
      <c r="V50" s="29" t="str">
        <f t="shared" si="10"/>
        <v>Description</v>
      </c>
      <c r="W50" s="29" t="str">
        <f>HLOOKUP(W$1,google_form!$1:$196,$A50,FALSE)</f>
        <v>The Indian National Centre for Ocean Information Services-Regional Machine Learning model (INCOIS-ReML) pCO2 data product offers machine learning based monthly climatological sea surface pCO2 and the corresponding air-sea CO2 flux for the Bay of Bengal (Joshi et al., 2024). This high-resolution (0.083° × 0.083°) monthly climatological pCO2 data product is available from the INCOIS Portal: https://las.incois.gov.in, and from OCADS: https://www.ncei.noaa.gov/data/oceans/ncei/ocads/metadata/0307627.html (Joshi et al., 2025a).</v>
      </c>
      <c r="X50" s="29" t="str">
        <f t="shared" si="11"/>
        <v>Reference</v>
      </c>
      <c r="Y50" s="29" t="str">
        <f>HLOOKUP(Y$1,google_form!$1:$196,$A50,FALSE)</f>
        <v>Joshi, A., Ghoshal, P.K., Chakraborty, K. et al. Sea-surface pCO2 maps for the Bay of Bengal based on advanced machine learning algorithms. Sci Data 11, 384 (2024). https://doi.org/10.1038/s41597-024-03236-w</v>
      </c>
    </row>
    <row r="51">
      <c r="A51" s="29">
        <v>50.0</v>
      </c>
      <c r="B51" s="29" t="str">
        <f>HLOOKUP(B$1,google_form!$1:$216,$A51,FALSE)</f>
        <v>Gridded surface</v>
      </c>
      <c r="C51" s="29" t="str">
        <f>HLOOKUP(C$1,google_form!$1:$216,$A51,FALSE)</f>
        <v>INCOIS_TA</v>
      </c>
      <c r="D51" s="29" t="str">
        <f>HLOOKUP(D$1,google_form!$1:$216,$A51,FALSE)</f>
        <v>Joshi et al. (2025)</v>
      </c>
      <c r="E51" s="33" t="str">
        <f>HLOOKUP(E$1,google_form!$1:$216,$A51,FALSE)</f>
        <v>https://i.ibb.co/BYn8GyH/Climatology-TA.png</v>
      </c>
      <c r="F51" s="29" t="str">
        <f t="shared" ref="F51:G51" si="196">if(ISBLANK($C51), "", F$1)</f>
        <v>fa-solid fa-globe</v>
      </c>
      <c r="G51" s="29" t="str">
        <f t="shared" si="196"/>
        <v>Spatial domains</v>
      </c>
      <c r="H51" s="29" t="str">
        <f>HLOOKUP(H$1,google_form!$1:$196,$A51,FALSE)</f>
        <v>Regional</v>
      </c>
      <c r="I51" s="29" t="str">
        <f t="shared" ref="I51:J51" si="197">if(ISBLANK($C51), "", I$1)</f>
        <v>fa-solid fa-hourglass-start</v>
      </c>
      <c r="J51" s="29" t="str">
        <f t="shared" si="197"/>
        <v>Temporal resolution</v>
      </c>
      <c r="K51" s="29" t="str">
        <f>HLOOKUP(K$1,google_form!$1:$196,$A51,FALSE)</f>
        <v>monthly</v>
      </c>
      <c r="L51" s="29" t="str">
        <f t="shared" ref="L51:M51" si="198">if(ISBLANK($C51), "", L$1)</f>
        <v>fa-solid fa-ruler-horizontal</v>
      </c>
      <c r="M51" s="29" t="str">
        <f t="shared" si="198"/>
        <v>Spatial resolution</v>
      </c>
      <c r="N51" s="34" t="str">
        <f>HLOOKUP(N$1,google_form!$1:$196,$A51,FALSE)</f>
        <v>0.083° x 0.083°</v>
      </c>
      <c r="O51" s="29" t="str">
        <f t="shared" ref="O51:P51" si="199">if(ISBLANK($C51), "", O$1)</f>
        <v>fa-solid fa-calendar-days</v>
      </c>
      <c r="P51" s="29" t="str">
        <f t="shared" si="199"/>
        <v>Period</v>
      </c>
      <c r="Q51" s="29" t="str">
        <f>HLOOKUP(Q$1,google_form!$1:$196,$A51,FALSE)</f>
        <v>1993-2020</v>
      </c>
      <c r="R51" s="29" t="str">
        <f>HLOOKUP(R$1,google_form!$1:$196,$A51,FALSE)</f>
        <v>This data product integrates publicly available open-ocean observations with data collected during Indian scientific expeditions and from the Indian Exclusive Economic Zone to provide surface TA estimates for the North Indian Ocean.</v>
      </c>
      <c r="S51" s="29" t="str">
        <f>HLOOKUP(S$1,google_form!$1:$196,$A51,FALSE)</f>
        <v>Joshi et al. (2025)</v>
      </c>
      <c r="T51" s="33" t="str">
        <f>HLOOKUP(T$1,google_form!$1:$196,$A51,FALSE)</f>
        <v>https://doi.org/10.1029/2024GB008344</v>
      </c>
      <c r="U51" s="33" t="str">
        <f>HLOOKUP(U$1,google_form!$1:$196,$A51,FALSE)</f>
        <v>https://www.ncei.noaa.gov/data/oceans/ncei/ocads/metadata/0307789.html</v>
      </c>
      <c r="V51" s="29" t="str">
        <f t="shared" si="10"/>
        <v>Description</v>
      </c>
      <c r="W51" s="29" t="str">
        <f>HLOOKUP(W$1,google_form!$1:$196,$A51,FALSE)</f>
        <v>The Indian National Centre for Ocean Information Services-Total Alkalinity (INCOIS_TA) data product offers a machine learning based monthly interannual surface TA from 1993-2020 for the North Indian Ocean (Joshi et al., 2025). This data product integrates publicly available open-ocean observations with data collected during Indian scientific expeditions and from the Indian Exclusive Economic Zone. This high-resolution (0.083° × 0.083°) long-term monthly TA data product is available from the INCOIS Portal: https://las.incois.gov.in, and from OCADS: https://www.ncei.noaa.gov/data/oceans/ncei/ocads/metadata/0307789.html (Joshi et al., 2025).</v>
      </c>
      <c r="X51" s="29" t="str">
        <f t="shared" si="11"/>
        <v>Reference</v>
      </c>
      <c r="Y51" s="29" t="str">
        <f>HLOOKUP(Y$1,google_form!$1:$196,$A51,FALSE)</f>
        <v>Joshi, A. P., Ghoshal, P. K., Chakraborty, K., Roy, R., Jayaram, C., Sridevi, B., &amp; Sarma, V. V. S. S. (2025). Long-term changes of surface total alkalinity and its driving mechanisms in the north Indian Ocean. Global Biogeochemical Cycles, 39, e2024GB008344. https://doi.org/10.1029/2024GB008344 </v>
      </c>
    </row>
    <row r="52">
      <c r="A52" s="29">
        <v>51.0</v>
      </c>
      <c r="B52" s="29" t="str">
        <f>HLOOKUP(B$1,google_form!$1:$216,$A52,FALSE)</f>
        <v>Gridded subsurface</v>
      </c>
      <c r="C52" s="29" t="str">
        <f>HLOOKUP(C$1,google_form!$1:$216,$A52,FALSE)</f>
        <v>GLODAPv2 Climatology</v>
      </c>
      <c r="D52" s="29" t="str">
        <f>HLOOKUP(D$1,google_form!$1:$216,$A52,FALSE)</f>
        <v>Lauvset et al. (2016)</v>
      </c>
      <c r="E52" s="33" t="str">
        <f>HLOOKUP(E$1,google_form!$1:$216,$A52,FALSE)</f>
        <v>https://i.ibb.co/dwFT2QJx/GLODAPv2-Climatology.png</v>
      </c>
      <c r="F52" s="29" t="str">
        <f t="shared" ref="F52:G52" si="200">if(ISBLANK($C52), "", F$1)</f>
        <v>fa-solid fa-globe</v>
      </c>
      <c r="G52" s="29" t="str">
        <f t="shared" si="200"/>
        <v>Spatial domains</v>
      </c>
      <c r="H52" s="29" t="str">
        <f>HLOOKUP(H$1,google_form!$1:$196,$A52,FALSE)</f>
        <v>Open ocean, Water column</v>
      </c>
      <c r="I52" s="29" t="str">
        <f t="shared" ref="I52:J52" si="201">if(ISBLANK($C52), "", I$1)</f>
        <v>fa-solid fa-hourglass-start</v>
      </c>
      <c r="J52" s="29" t="str">
        <f t="shared" si="201"/>
        <v>Temporal resolution</v>
      </c>
      <c r="K52" s="29" t="str">
        <f>HLOOKUP(K$1,google_form!$1:$196,$A52,FALSE)</f>
        <v>climatology</v>
      </c>
      <c r="L52" s="29" t="str">
        <f t="shared" ref="L52:M52" si="202">if(ISBLANK($C52), "", L$1)</f>
        <v>fa-solid fa-ruler-horizontal</v>
      </c>
      <c r="M52" s="29" t="str">
        <f t="shared" si="202"/>
        <v>Spatial resolution</v>
      </c>
      <c r="N52" s="34" t="str">
        <f>HLOOKUP(N$1,google_form!$1:$196,$A52,FALSE)</f>
        <v>1° x 1°</v>
      </c>
      <c r="O52" s="29" t="str">
        <f t="shared" ref="O52:P52" si="203">if(ISBLANK($C52), "", O$1)</f>
        <v>fa-solid fa-calendar-days</v>
      </c>
      <c r="P52" s="29" t="str">
        <f t="shared" si="203"/>
        <v>Period</v>
      </c>
      <c r="Q52" s="29" t="str">
        <f>HLOOKUP(Q$1,google_form!$1:$196,$A52,FALSE)</f>
        <v>2002</v>
      </c>
      <c r="R52" s="29" t="str">
        <f>HLOOKUP(R$1,google_form!$1:$196,$A52,FALSE)</f>
        <v>Ocean interior climatology for multiple variables from surface to the bottom of the ocean (referenced to year 2002)</v>
      </c>
      <c r="S52" s="29" t="str">
        <f>HLOOKUP(S$1,google_form!$1:$196,$A52,FALSE)</f>
        <v>Lauvset et al. (2016)</v>
      </c>
      <c r="T52" s="33" t="str">
        <f>HLOOKUP(T$1,google_form!$1:$196,$A52,FALSE)</f>
        <v>https://doi.org/10.5194/essd-8-325-2016</v>
      </c>
      <c r="U52" s="33" t="str">
        <f>HLOOKUP(U$1,google_form!$1:$196,$A52,FALSE)</f>
        <v>https://www.ncei.noaa.gov/data/oceans/ncei/ocads/metadata/0286118.html </v>
      </c>
      <c r="V52" s="29" t="str">
        <f t="shared" si="10"/>
        <v>Description</v>
      </c>
      <c r="W52" s="29" t="str">
        <f>HLOOKUP(W$1,google_form!$1:$196,$A52,FALSE)</f>
        <v>Lauvset et al. (2016) generated a comprehensive set of global interior ocean climatologies, mapping key biogeochemical variables on a 1° × 1° grid for 33 depth levels from surface to 5500 m. These climatologies cover temperature, salinity, DO, nitrate, phosphate, silicate, DIC, TA, pH, Ωarag, and Ωcalc). This data product was created based on the quality-controlled and internally consistent GLODAPv2.2016 (Olsen et al., 2016) using the data-interpolating variational analysis (DIVA) method (Barth et al., 2014). The conceivably confounding temporal trends in DIC, pH, Ωarag and Ωcalc due to anthropogenic influence were removed prior to mapping by normalizing their values to a reference year of 2002 using first-order calculations of anthropogenic carbon accumulation rates. For all variables, all data from the full 1972–2013 period were used, including data that did not receive full secondary quality control. This data product is not updated each year along with the main GLODAPv2 data product. </v>
      </c>
      <c r="X52" s="29" t="str">
        <f t="shared" si="11"/>
        <v>Reference</v>
      </c>
      <c r="Y52" s="29" t="str">
        <f>HLOOKUP(Y$1,google_form!$1:$196,$A52,FALSE)</f>
        <v>Lauvset, S. K., Key, R. M., Olsen, A., van Heuven, S., Velo, A., Lin, X., Schirnick, C., Kozyr, A., Tanhua, T., Hoppema, M., Jutterström, S., Steinfeldt, R., Jeansson, E., Ishii, M., Perez, F. F., Suzuki, T., and Watelet, S.: A new global interior ocean mapped climatology: The 1° × 1° GLODAP version 2, Earth System Science Data, 8(2), 325–340, https://doi.org/10.5194/essd-8-325-2016, 2016.</v>
      </c>
    </row>
    <row r="53">
      <c r="A53" s="29">
        <v>52.0</v>
      </c>
      <c r="B53" s="29" t="str">
        <f>HLOOKUP(B$1,google_form!$1:$216,$A53,FALSE)</f>
        <v>Gridded subsurface</v>
      </c>
      <c r="C53" s="29" t="str">
        <f>HLOOKUP(C$1,google_form!$1:$216,$A53,FALSE)</f>
        <v>Aragonite Saturation Climatology</v>
      </c>
      <c r="D53" s="29" t="str">
        <f>HLOOKUP(D$1,google_form!$1:$216,$A53,FALSE)</f>
        <v>Jiang et al. (2015) </v>
      </c>
      <c r="E53" s="33" t="str">
        <f>HLOOKUP(E$1,google_form!$1:$216,$A53,FALSE)</f>
        <v>https://i.ibb.co/KpxH4y77/gbc20348-fig-0002-m.jpg</v>
      </c>
      <c r="F53" s="29" t="str">
        <f t="shared" ref="F53:G53" si="204">if(ISBLANK($C53), "", F$1)</f>
        <v>fa-solid fa-globe</v>
      </c>
      <c r="G53" s="29" t="str">
        <f t="shared" si="204"/>
        <v>Spatial domains</v>
      </c>
      <c r="H53" s="29" t="str">
        <f>HLOOKUP(H$1,google_form!$1:$196,$A53,FALSE)</f>
        <v>Open ocean, Water column</v>
      </c>
      <c r="I53" s="29" t="str">
        <f t="shared" ref="I53:J53" si="205">if(ISBLANK($C53), "", I$1)</f>
        <v>fa-solid fa-hourglass-start</v>
      </c>
      <c r="J53" s="29" t="str">
        <f t="shared" si="205"/>
        <v>Temporal resolution</v>
      </c>
      <c r="K53" s="29" t="str">
        <f>HLOOKUP(K$1,google_form!$1:$196,$A53,FALSE)</f>
        <v>climatology</v>
      </c>
      <c r="L53" s="29" t="str">
        <f t="shared" ref="L53:M53" si="206">if(ISBLANK($C53), "", L$1)</f>
        <v>fa-solid fa-ruler-horizontal</v>
      </c>
      <c r="M53" s="29" t="str">
        <f t="shared" si="206"/>
        <v>Spatial resolution</v>
      </c>
      <c r="N53" s="34" t="str">
        <f>HLOOKUP(N$1,google_form!$1:$196,$A53,FALSE)</f>
        <v>1° x 1°</v>
      </c>
      <c r="O53" s="29" t="str">
        <f t="shared" ref="O53:P53" si="207">if(ISBLANK($C53), "", O$1)</f>
        <v>fa-solid fa-calendar-days</v>
      </c>
      <c r="P53" s="29" t="str">
        <f t="shared" si="207"/>
        <v>Period</v>
      </c>
      <c r="Q53" s="35" t="str">
        <f>HLOOKUP(Q$1,google_form!$1:$196,$A53,FALSE)</f>
        <v>2000</v>
      </c>
      <c r="R53" s="29" t="str">
        <f>HLOOKUP(R$1,google_form!$1:$196,$A53,FALSE)</f>
        <v>Ocean interior climatology for (Ωarag) from surface to 4000 m (referenced to year 2000)</v>
      </c>
      <c r="S53" s="29" t="str">
        <f>HLOOKUP(S$1,google_form!$1:$196,$A53,FALSE)</f>
        <v>Jiang et al. (2015) </v>
      </c>
      <c r="T53" s="33" t="str">
        <f>HLOOKUP(T$1,google_form!$1:$196,$A53,FALSE)</f>
        <v>https://doi.org/10.1002/2015GB005198</v>
      </c>
      <c r="U53" s="33" t="str">
        <f>HLOOKUP(U$1,google_form!$1:$196,$A53,FALSE)</f>
        <v>https://www.ncei.noaa.gov/data/oceans/ncei/ocads/metadata/0139360.html</v>
      </c>
      <c r="V53" s="29" t="str">
        <f t="shared" si="10"/>
        <v>Description</v>
      </c>
      <c r="W53" s="29" t="str">
        <f>HLOOKUP(W$1,google_form!$1:$196,$A53,FALSE)</f>
        <v>Jiang et al. (2015a) developed an interior ocean Ωarag climatology (referenced to 2000), on a 1° × 1° grid at 9 standardized depth levels from the surface down to 4000m. This was accomplished by integrating data from the first version of GLODAP (Key et al., 2004), CARINA (Key et al., 2010), and PACIFICA (Suzuki et al., 2013), along with additional recent cruise datasets up to 2012. </v>
      </c>
      <c r="X53" s="29" t="str">
        <f t="shared" si="11"/>
        <v>Reference</v>
      </c>
      <c r="Y53" s="29" t="str">
        <f>HLOOKUP(Y$1,google_form!$1:$196,$A53,FALSE)</f>
        <v>Jiang, L.-Q., Feely, R. A., Carter, B. R., Greeley, D. J., Gledhill, D. K., and Arzayus, K. M.: Climatological distribution of aragonite saturation state in the global oceans,  Global Biogeochemical Cycles, 29(10), 1656–1673, https://doi.org/10.1002/2015GB005198, 2015. </v>
      </c>
    </row>
    <row r="54">
      <c r="A54" s="29">
        <v>53.0</v>
      </c>
      <c r="B54" s="29" t="str">
        <f>HLOOKUP(B$1,google_form!$1:$216,$A54,FALSE)</f>
        <v>Gridded subsurface</v>
      </c>
      <c r="C54" s="29" t="str">
        <f>HLOOKUP(C$1,google_form!$1:$216,$A54,FALSE)</f>
        <v>MOBO-DIC (Version 2020)</v>
      </c>
      <c r="D54" s="29" t="str">
        <f>HLOOKUP(D$1,google_form!$1:$216,$A54,FALSE)</f>
        <v>Keppler et al., 2020</v>
      </c>
      <c r="E54" s="33" t="str">
        <f>HLOOKUP(E$1,google_form!$1:$216,$A54,FALSE)</f>
        <v>https://www.ncei.noaa.gov/access/ocean-carbon-acidification-data-system/oceans/ndp_104/Moby.jpg</v>
      </c>
      <c r="F54" s="29" t="str">
        <f t="shared" ref="F54:G54" si="208">if(ISBLANK($C54), "", F$1)</f>
        <v>fa-solid fa-globe</v>
      </c>
      <c r="G54" s="29" t="str">
        <f t="shared" si="208"/>
        <v>Spatial domains</v>
      </c>
      <c r="H54" s="29" t="str">
        <f>HLOOKUP(H$1,google_form!$1:$196,$A54,FALSE)</f>
        <v>Open ocean</v>
      </c>
      <c r="I54" s="29" t="str">
        <f t="shared" ref="I54:J54" si="209">if(ISBLANK($C54), "", I$1)</f>
        <v>fa-solid fa-hourglass-start</v>
      </c>
      <c r="J54" s="29" t="str">
        <f t="shared" si="209"/>
        <v>Temporal resolution</v>
      </c>
      <c r="K54" s="29" t="str">
        <f>HLOOKUP(K$1,google_form!$1:$196,$A54,FALSE)</f>
        <v>monthly, climatology</v>
      </c>
      <c r="L54" s="29" t="str">
        <f t="shared" ref="L54:M54" si="210">if(ISBLANK($C54), "", L$1)</f>
        <v>fa-solid fa-ruler-horizontal</v>
      </c>
      <c r="M54" s="29" t="str">
        <f t="shared" si="210"/>
        <v>Spatial resolution</v>
      </c>
      <c r="N54" s="34" t="str">
        <f>HLOOKUP(N$1,google_form!$1:$196,$A54,FALSE)</f>
        <v>1° x 1°</v>
      </c>
      <c r="O54" s="29" t="str">
        <f t="shared" ref="O54:P54" si="211">if(ISBLANK($C54), "", O$1)</f>
        <v>fa-solid fa-calendar-days</v>
      </c>
      <c r="P54" s="29" t="str">
        <f t="shared" si="211"/>
        <v>Period</v>
      </c>
      <c r="Q54" s="29" t="str">
        <f>HLOOKUP(Q$1,google_form!$1:$196,$A54,FALSE)</f>
        <v>2010</v>
      </c>
      <c r="R54" s="29" t="str">
        <f>HLOOKUP(R$1,google_form!$1:$196,$A54,FALSE)</f>
        <v>Seasonal variability of DIC in the interior ocean from surface to 2000 m</v>
      </c>
      <c r="S54" s="29" t="str">
        <f>HLOOKUP(S$1,google_form!$1:$196,$A54,FALSE)</f>
        <v>Keppler et al., 2020</v>
      </c>
      <c r="T54" s="33" t="str">
        <f>HLOOKUP(T$1,google_form!$1:$196,$A54,FALSE)</f>
        <v>https://doi.org/10.1029/2020GB006571</v>
      </c>
      <c r="U54" s="33" t="str">
        <f>HLOOKUP(U$1,google_form!$1:$196,$A54,FALSE)</f>
        <v>https://www.ncei.noaa.gov/access/ocean-carbon-acidification-data-system/oceans/ndp_104/ndp104.html</v>
      </c>
      <c r="V54" s="29" t="str">
        <f t="shared" si="10"/>
        <v>Description</v>
      </c>
      <c r="W54" s="29" t="str">
        <f>HLOOKUP(W$1,google_form!$1:$196,$A54,FALSE)</f>
        <v>Keppler et al. (2020) produced a global interior ocean DIC monthly climatology (average climatological values for January through December) on a 1° × 1° grid at 33 standardized depth levels from the surface to 2000 m. </v>
      </c>
      <c r="X54" s="29" t="str">
        <f t="shared" si="11"/>
        <v>Reference</v>
      </c>
      <c r="Y54" s="29" t="str">
        <f>HLOOKUP(Y$1,google_form!$1:$196,$A54,FALSE)</f>
        <v>Keppler, L., Landschützer, P., Gruber, N., Lauvset, S. K., and Stemmler, I.: Seasonal carbon dynamics in the near-global ocean, Global Biogeochemical Cycles, 34(12), e2020GB006571, https://doi.org/10.1029/2020GB006571, 2020.</v>
      </c>
    </row>
    <row r="55">
      <c r="A55" s="29">
        <v>54.0</v>
      </c>
      <c r="B55" s="29" t="str">
        <f>HLOOKUP(B$1,google_form!$1:$216,$A55,FALSE)</f>
        <v>Gridded subsurface</v>
      </c>
      <c r="C55" s="29" t="str">
        <f>HLOOKUP(C$1,google_form!$1:$216,$A55,FALSE)</f>
        <v>MOBO-DIC (Version 2023)</v>
      </c>
      <c r="D55" s="29" t="str">
        <f>HLOOKUP(D$1,google_form!$1:$216,$A55,FALSE)</f>
        <v>Keppler et al. (2023)</v>
      </c>
      <c r="E55" s="33" t="str">
        <f>HLOOKUP(E$1,google_form!$1:$216,$A55,FALSE)</f>
        <v>https://www.ncei.noaa.gov/access/ocean-carbon-acidification-data-system/oceans/ndp_104/Moby.jpg</v>
      </c>
      <c r="F55" s="29" t="str">
        <f t="shared" ref="F55:G55" si="212">if(ISBLANK($C55), "", F$1)</f>
        <v>fa-solid fa-globe</v>
      </c>
      <c r="G55" s="29" t="str">
        <f t="shared" si="212"/>
        <v>Spatial domains</v>
      </c>
      <c r="H55" s="29" t="str">
        <f>HLOOKUP(H$1,google_form!$1:$196,$A55,FALSE)</f>
        <v>Open ocean</v>
      </c>
      <c r="I55" s="29" t="str">
        <f t="shared" ref="I55:J55" si="213">if(ISBLANK($C55), "", I$1)</f>
        <v>fa-solid fa-hourglass-start</v>
      </c>
      <c r="J55" s="29" t="str">
        <f t="shared" si="213"/>
        <v>Temporal resolution</v>
      </c>
      <c r="K55" s="29" t="str">
        <f>HLOOKUP(K$1,google_form!$1:$196,$A55,FALSE)</f>
        <v>monthly</v>
      </c>
      <c r="L55" s="29" t="str">
        <f t="shared" ref="L55:M55" si="214">if(ISBLANK($C55), "", L$1)</f>
        <v>fa-solid fa-ruler-horizontal</v>
      </c>
      <c r="M55" s="29" t="str">
        <f t="shared" si="214"/>
        <v>Spatial resolution</v>
      </c>
      <c r="N55" s="34" t="str">
        <f>HLOOKUP(N$1,google_form!$1:$196,$A55,FALSE)</f>
        <v>1° x 1°</v>
      </c>
      <c r="O55" s="29" t="str">
        <f t="shared" ref="O55:P55" si="215">if(ISBLANK($C55), "", O$1)</f>
        <v>fa-solid fa-calendar-days</v>
      </c>
      <c r="P55" s="29" t="str">
        <f t="shared" si="215"/>
        <v>Period</v>
      </c>
      <c r="Q55" s="29" t="str">
        <f>HLOOKUP(Q$1,google_form!$1:$196,$A55,FALSE)</f>
        <v>2004-2020</v>
      </c>
      <c r="R55" s="29" t="str">
        <f>HLOOKUP(R$1,google_form!$1:$196,$A55,FALSE)</f>
        <v>Temporal trends and interannual variability of DIC in the interior ocean from surface to 1500 m</v>
      </c>
      <c r="S55" s="29" t="str">
        <f>HLOOKUP(S$1,google_form!$1:$196,$A55,FALSE)</f>
        <v>Keppler et al. (2023)</v>
      </c>
      <c r="T55" s="33" t="str">
        <f>HLOOKUP(T$1,google_form!$1:$196,$A55,FALSE)</f>
        <v>https://doi.org/10.1029/2022gb007677</v>
      </c>
      <c r="U55" s="33" t="str">
        <f>HLOOKUP(U$1,google_form!$1:$196,$A55,FALSE)</f>
        <v>https://www.ncei.noaa.gov/data/oceans/ncei/ocads/metadata/0277099.html</v>
      </c>
      <c r="V55" s="29" t="str">
        <f t="shared" si="10"/>
        <v>Description</v>
      </c>
      <c r="W55" s="29" t="str">
        <f>HLOOKUP(W$1,google_form!$1:$196,$A55,FALSE)</f>
        <v>Keppler et al. (2023) extended the temporal resolution of MOBO-DIC to resolve monthly fields from January 2004 to December 2019, as opposed to the average climatological values in Keppler et al. (2020).</v>
      </c>
      <c r="X55" s="29" t="str">
        <f t="shared" si="11"/>
        <v>Reference</v>
      </c>
      <c r="Y55" s="29" t="str">
        <f>HLOOKUP(Y$1,google_form!$1:$196,$A55,FALSE)</f>
        <v>Keppler, L., Landschützer, P., Lauvset, S. K., and Gruber, N.: Recent trends and variability in the oceanic storage of dissolved inorganic carbon, Global Biogeochemical Cycles, 37(5), https://doi.org/10.1029/2022gb007677, 2023.</v>
      </c>
    </row>
    <row r="56">
      <c r="A56" s="29">
        <v>55.0</v>
      </c>
      <c r="B56" s="29" t="str">
        <f>HLOOKUP(B$1,google_form!$1:$216,$A56,FALSE)</f>
        <v>Gridded subsurface</v>
      </c>
      <c r="C56" s="29" t="str">
        <f>HLOOKUP(C$1,google_form!$1:$216,$A56,FALSE)</f>
        <v>Monthly Interior Ocean TA Climatology</v>
      </c>
      <c r="D56" s="29" t="str">
        <f>HLOOKUP(D$1,google_form!$1:$216,$A56,FALSE)</f>
        <v>Broullon et al., (2019)</v>
      </c>
      <c r="E56" s="33" t="str">
        <f>HLOOKUP(E$1,google_form!$1:$216,$A56,FALSE)</f>
        <v>https://essd.copernicus.org/articles/11/1109/2019/essd-11-1109-2019-f09-web.png</v>
      </c>
      <c r="F56" s="29" t="str">
        <f t="shared" ref="F56:G56" si="216">if(ISBLANK($C56), "", F$1)</f>
        <v>fa-solid fa-globe</v>
      </c>
      <c r="G56" s="29" t="str">
        <f t="shared" si="216"/>
        <v>Spatial domains</v>
      </c>
      <c r="H56" s="29" t="str">
        <f>HLOOKUP(H$1,google_form!$1:$196,$A56,FALSE)</f>
        <v>Open ocean, Water column</v>
      </c>
      <c r="I56" s="29" t="str">
        <f t="shared" ref="I56:J56" si="217">if(ISBLANK($C56), "", I$1)</f>
        <v>fa-solid fa-hourglass-start</v>
      </c>
      <c r="J56" s="29" t="str">
        <f t="shared" si="217"/>
        <v>Temporal resolution</v>
      </c>
      <c r="K56" s="29" t="str">
        <f>HLOOKUP(K$1,google_form!$1:$196,$A56,FALSE)</f>
        <v>monthly, climatology</v>
      </c>
      <c r="L56" s="29" t="str">
        <f t="shared" ref="L56:M56" si="218">if(ISBLANK($C56), "", L$1)</f>
        <v>fa-solid fa-ruler-horizontal</v>
      </c>
      <c r="M56" s="29" t="str">
        <f t="shared" si="218"/>
        <v>Spatial resolution</v>
      </c>
      <c r="N56" s="34" t="str">
        <f>HLOOKUP(N$1,google_form!$1:$196,$A56,FALSE)</f>
        <v>1° x 1°</v>
      </c>
      <c r="O56" s="29" t="str">
        <f t="shared" ref="O56:P56" si="219">if(ISBLANK($C56), "", O$1)</f>
        <v>fa-solid fa-calendar-days</v>
      </c>
      <c r="P56" s="29" t="str">
        <f t="shared" si="219"/>
        <v>Period</v>
      </c>
      <c r="Q56" s="29" t="str">
        <f>HLOOKUP(Q$1,google_form!$1:$196,$A56,FALSE)</f>
        <v/>
      </c>
      <c r="R56" s="29" t="str">
        <f>HLOOKUP(R$1,google_form!$1:$196,$A56,FALSE)</f>
        <v>Ocean interior climatology for TA from surface to bottom</v>
      </c>
      <c r="S56" s="29" t="str">
        <f>HLOOKUP(S$1,google_form!$1:$196,$A56,FALSE)</f>
        <v>Broullon et al., (2019)</v>
      </c>
      <c r="T56" s="33" t="str">
        <f>HLOOKUP(T$1,google_form!$1:$196,$A56,FALSE)</f>
        <v>https://doi.org/10.5194/essd-11-1109-2019</v>
      </c>
      <c r="U56" s="33" t="str">
        <f>HLOOKUP(U$1,google_form!$1:$196,$A56,FALSE)</f>
        <v>https://doi.org/10.25921/5p69-y471</v>
      </c>
      <c r="V56" s="29" t="str">
        <f t="shared" si="10"/>
        <v>Description</v>
      </c>
      <c r="W56" s="29" t="str">
        <f>HLOOKUP(W$1,google_form!$1:$196,$A56,FALSE)</f>
        <v>Global climatologies of the seawater CO2 chemistry variables are necessary to assess the marine carbon cycle in depth. The climatologies should adequately capture seasonal variability to properly address ocean acidification and similar issues related to the carbon cycle. Total alkalinity (AT) is one variable of the seawater CO2 chemistry system involved in ocean acidification and frequently measured. We used the Global Ocean Data Analysis Project version 2.2019 (GLODAPv2) to extract relationships among the drivers of the AT variability and AT concentration using a neural network (NNGv2) to generate a monthly climatology. The GLODAPv2 quality-controlled dataset used was modeled by the NNGv2 with a root-mean-squared error (RMSE) of 5.3 µmol kg−1. Validation tests with independent datasets revealed the good generalization of the network. Data from five ocean time-series stations showed an acceptable RMSE range of 3–6.2 µmol kg−1. Successful modeling of the monthly AT variability in the time series suggests that the NNGv2 is a good candidate to generate a monthly climatology. The climatological fields of AT were obtained passing through the NNGv2 the World Ocean Atlas 2013 (WOA13) monthly climatologies of temperature, salinity, and oxygen and the computed climatologies of nutrients from the previous ones with a neural network. The spatiotemporal resolution is set by WOA13: 1∘ × 1∘ in the horizontal, 102 depth levels (0–5500 m) in the vertical and monthly (0–1500 m) to annual (1550–5500 m) temporal resolution. The product is distributed through the data repository of the Spanish National Research Council (CSIC; https://doi.org/10.20350/digitalCSIC/8644, Broullón et al., 2019).</v>
      </c>
      <c r="X56" s="29" t="str">
        <f t="shared" si="11"/>
        <v>Reference</v>
      </c>
      <c r="Y56" s="29" t="str">
        <f>HLOOKUP(Y$1,google_form!$1:$196,$A56,FALSE)</f>
        <v>Broullón, D., Pérez, F. F., Velo, A., Hoppema, M., Olsen, A., Takahashi, T., Key, R. M., Tanhua, T., González-Dávila, M., Jeansson, E., Kozyr, A., and van Heuven, S. M. A. C.: A global monthly climatology of total alkalinity: a neural network approach, Earth Syst. Sci. Data, 11, 1109–1127, https://doi.org/10.5194/essd-11-1109-2019, 2019.</v>
      </c>
    </row>
    <row r="57">
      <c r="A57" s="29">
        <v>56.0</v>
      </c>
      <c r="B57" s="29" t="str">
        <f>HLOOKUP(B$1,google_form!$1:$216,$A57,FALSE)</f>
        <v>Gridded subsurface</v>
      </c>
      <c r="C57" s="29" t="str">
        <f>HLOOKUP(C$1,google_form!$1:$216,$A57,FALSE)</f>
        <v>Monthly Interior Ocean DIC Climatology</v>
      </c>
      <c r="D57" s="29" t="str">
        <f>HLOOKUP(D$1,google_form!$1:$216,$A57,FALSE)</f>
        <v>Broullón et al., (2020)</v>
      </c>
      <c r="E57" s="33" t="str">
        <f>HLOOKUP(E$1,google_form!$1:$216,$A57,FALSE)</f>
        <v>https://essd.copernicus.org/articles/12/1725/2020/essd-12-1725-2020-f07-web.png</v>
      </c>
      <c r="F57" s="29" t="str">
        <f t="shared" ref="F57:G57" si="220">if(ISBLANK($C57), "", F$1)</f>
        <v>fa-solid fa-globe</v>
      </c>
      <c r="G57" s="29" t="str">
        <f t="shared" si="220"/>
        <v>Spatial domains</v>
      </c>
      <c r="H57" s="29" t="str">
        <f>HLOOKUP(H$1,google_form!$1:$196,$A57,FALSE)</f>
        <v>Open ocean, Water column</v>
      </c>
      <c r="I57" s="29" t="str">
        <f t="shared" ref="I57:J57" si="221">if(ISBLANK($C57), "", I$1)</f>
        <v>fa-solid fa-hourglass-start</v>
      </c>
      <c r="J57" s="29" t="str">
        <f t="shared" si="221"/>
        <v>Temporal resolution</v>
      </c>
      <c r="K57" s="29" t="str">
        <f>HLOOKUP(K$1,google_form!$1:$196,$A57,FALSE)</f>
        <v>monthly</v>
      </c>
      <c r="L57" s="29" t="str">
        <f t="shared" ref="L57:M57" si="222">if(ISBLANK($C57), "", L$1)</f>
        <v>fa-solid fa-ruler-horizontal</v>
      </c>
      <c r="M57" s="29" t="str">
        <f t="shared" si="222"/>
        <v>Spatial resolution</v>
      </c>
      <c r="N57" s="34" t="str">
        <f>HLOOKUP(N$1,google_form!$1:$196,$A57,FALSE)</f>
        <v>1° x 1°</v>
      </c>
      <c r="O57" s="29" t="str">
        <f t="shared" ref="O57:P57" si="223">if(ISBLANK($C57), "", O$1)</f>
        <v>fa-solid fa-calendar-days</v>
      </c>
      <c r="P57" s="29" t="str">
        <f t="shared" si="223"/>
        <v>Period</v>
      </c>
      <c r="Q57" s="29" t="str">
        <f>HLOOKUP(Q$1,google_form!$1:$196,$A57,FALSE)</f>
        <v>1995</v>
      </c>
      <c r="R57" s="29" t="str">
        <f>HLOOKUP(R$1,google_form!$1:$196,$A57,FALSE)</f>
        <v>Ocean interior climatology for DIC from surface to bottom (referenced to year 1995)</v>
      </c>
      <c r="S57" s="29" t="str">
        <f>HLOOKUP(S$1,google_form!$1:$196,$A57,FALSE)</f>
        <v>Broullón et al., (2020)</v>
      </c>
      <c r="T57" s="33" t="str">
        <f>HLOOKUP(T$1,google_form!$1:$196,$A57,FALSE)</f>
        <v>https://doi.org/10.5194/essd-12-1725-2020</v>
      </c>
      <c r="U57" s="33" t="str">
        <f>HLOOKUP(U$1,google_form!$1:$196,$A57,FALSE)</f>
        <v>https://doi.org/10.25921/ndgj-jp24</v>
      </c>
      <c r="V57" s="29" t="str">
        <f t="shared" si="10"/>
        <v>Description</v>
      </c>
      <c r="W57" s="29" t="str">
        <f>HLOOKUP(W$1,google_form!$1:$196,$A57,FALSE)</f>
        <v>Anthropogenic emissions of CO2 to the atmosphere have modified the carbon cycle for more than 2 centuries. As the ocean stores most of the carbon on our planet, there is an important task in unraveling the natural and anthropogenic processes that drive the carbon cycle at different spatial and temporal scales. We contribute to this by designing a global monthly climatology of total dissolved inorganic carbon (TCO2), which offers a robust basis in carbon cycle modeling but also for other studies related to this cycle. A feedforward neural network (dubbed NNGv2LDEO) was configured to extract from the Global Ocean Data Analysis Project version 2.2019 (GLODAPv2.2019) and the Lamont–Doherty Earth Observatory (LDEO) datasets the relations between TCO2 and a set of variables related to the former's variability. The global root mean square error (RMSE) of mapping TCO2 is relatively low for the two datasets (GLODAPv2.2019: 7.2 µmol kg−1; LDEO: 11.4 µmol kg−1) and also for independent data, suggesting that the network does not overfit possible errors in data. The ability of NNGv2LDEO to capture the monthly variability of TCO2 was testified through the good reproduction of the seasonal cycle in 10 time series stations spread over different regions of the ocean (RMSE: 3.6 to 13.2 µmol kg−1). The climatology was obtained by passing through NNGv2LDEO the monthly climatological fields of temperature, salinity, and oxygen from the World Ocean Atlas 2013 and phosphate, nitrate, and silicate computed from a neural network fed with the previous fields. The resolution is  in the horizontal, 102 depth levels (0–5500 m), and monthly (0–1500 m) to annual (1550–5500 m) temporal resolution, and it is centered around the year 1995. The uncertainty of the climatology is low when compared with climatological values derived from measured TCO2 in the largest time series stations. Furthermore, a computed climatology of partial pressure of CO2 (pCO2) from a previous climatology of total alkalinity and the present one of TCO2 supports the robustness of this product through the good correlation with a widely used pCO2 climatology (Landschützer et al., 2017). Our TCO2 climatology is distributed through the data repository of the Spanish National Research Council (CSIC; https://doi.org/10.20350/digitalCSIC/10551, Broullón et al., 2020)</v>
      </c>
      <c r="X57" s="29" t="str">
        <f t="shared" si="11"/>
        <v>Reference</v>
      </c>
      <c r="Y57" s="29" t="str">
        <f>HLOOKUP(Y$1,google_form!$1:$196,$A57,FALSE)</f>
        <v>Broullón, D., Pérez, F. F., Velo, A., Hoppema, M., Olsen, A., Takahashi, T., Key, R. M., Tanhua, T., Santana-Casiano, J. M., and Kozyr, A.: A global monthly climatology of oceanic total dissolved inorganic carbon: A Neural Network approach, Earth Syst. Sci. Data, 12(3), 1725–1743,  https://doi.org/10.5194/essd-12-1725-2020, 2020</v>
      </c>
    </row>
    <row r="58">
      <c r="A58" s="29">
        <v>57.0</v>
      </c>
      <c r="B58" s="29" t="str">
        <f>HLOOKUP(B$1,google_form!$1:$216,$A58,FALSE)</f>
        <v>Gridded subsurface</v>
      </c>
      <c r="C58" s="29" t="str">
        <f>HLOOKUP(C$1,google_form!$1:$216,$A58,FALSE)</f>
        <v>Acidification Metrics in the Ocean Interior</v>
      </c>
      <c r="D58" s="29" t="str">
        <f>HLOOKUP(D$1,google_form!$1:$216,$A58,FALSE)</f>
        <v>Fassbender et al. (2023) </v>
      </c>
      <c r="E58" s="33" t="str">
        <f>HLOOKUP(E$1,google_form!$1:$216,$A58,FALSE)</f>
        <v>https://www.ncei.noaa.gov/data/oceans/archive/arc0227/0290073/1.1/about/0290073_preview.jpg</v>
      </c>
      <c r="F58" s="29" t="str">
        <f t="shared" ref="F58:G58" si="224">if(ISBLANK($C58), "", F$1)</f>
        <v>fa-solid fa-globe</v>
      </c>
      <c r="G58" s="29" t="str">
        <f t="shared" si="224"/>
        <v>Spatial domains</v>
      </c>
      <c r="H58" s="29" t="str">
        <f>HLOOKUP(H$1,google_form!$1:$196,$A58,FALSE)</f>
        <v>Open ocean, Water column</v>
      </c>
      <c r="I58" s="29" t="str">
        <f t="shared" ref="I58:J58" si="225">if(ISBLANK($C58), "", I$1)</f>
        <v>fa-solid fa-hourglass-start</v>
      </c>
      <c r="J58" s="29" t="str">
        <f t="shared" si="225"/>
        <v>Temporal resolution</v>
      </c>
      <c r="K58" s="29" t="str">
        <f>HLOOKUP(K$1,google_form!$1:$196,$A58,FALSE)</f>
        <v>climatology</v>
      </c>
      <c r="L58" s="29" t="str">
        <f t="shared" ref="L58:M58" si="226">if(ISBLANK($C58), "", L$1)</f>
        <v>fa-solid fa-ruler-horizontal</v>
      </c>
      <c r="M58" s="29" t="str">
        <f t="shared" si="226"/>
        <v>Spatial resolution</v>
      </c>
      <c r="N58" s="34" t="str">
        <f>HLOOKUP(N$1,google_form!$1:$196,$A58,FALSE)</f>
        <v>1° x 1°</v>
      </c>
      <c r="O58" s="29" t="str">
        <f t="shared" ref="O58:P58" si="227">if(ISBLANK($C58), "", O$1)</f>
        <v>fa-solid fa-calendar-days</v>
      </c>
      <c r="P58" s="29" t="str">
        <f t="shared" si="227"/>
        <v>Period</v>
      </c>
      <c r="Q58" s="29" t="str">
        <f>HLOOKUP(Q$1,google_form!$1:$196,$A58,FALSE)</f>
        <v>1850 - 2002</v>
      </c>
      <c r="R58" s="29" t="str">
        <f>HLOOKUP(R$1,google_form!$1:$196,$A58,FALSE)</f>
        <v>Metrics of acidification in the ocean interior (to 2000 m) and the component of those changes caused by carbonate system nonlinearities</v>
      </c>
      <c r="S58" s="29" t="str">
        <f>HLOOKUP(S$1,google_form!$1:$196,$A58,FALSE)</f>
        <v>Fassbender et al. (2023) </v>
      </c>
      <c r="T58" s="33" t="str">
        <f>HLOOKUP(T$1,google_form!$1:$196,$A58,FALSE)</f>
        <v>https://doi.org/10.1029/2023GB007843</v>
      </c>
      <c r="U58" s="33" t="str">
        <f>HLOOKUP(U$1,google_form!$1:$196,$A58,FALSE)</f>
        <v>https://www.ncei.noaa.gov/data/oceans/ncei/ocads/metadata/0290073.html</v>
      </c>
      <c r="V58" s="29" t="str">
        <f t="shared" si="10"/>
        <v>Description</v>
      </c>
      <c r="W58" s="29" t="str">
        <f>HLOOKUP(W$1,google_form!$1:$196,$A58,FALSE)</f>
        <v>Fassbender et al. (2023) generated estimates of global interior ocean changes to pH, [H+], Ωarag, pCO2, and the Revelle sensitivity factor driven by the accumulation of anthropogenic carbon (Cant) from the preindustrial period to the year 2002, and quantified the component of those changes caused by nonlinearities in the carbonate system. For each OA metric, the dataset includes year 2002 values and quasi-preindustrial values, which were estimated by subtracting Cant from the year 2002 carbonate chemistry information and recomputing each OA metric without considering any warming, circulation, or biological changes that may have occurred since the preindustrial era. </v>
      </c>
      <c r="X58" s="29" t="str">
        <f t="shared" si="11"/>
        <v>Reference</v>
      </c>
      <c r="Y58" s="29" t="str">
        <f>HLOOKUP(Y$1,google_form!$1:$196,$A58,FALSE)</f>
        <v>Fassbender, A. J., Carter, B. R., Sharp, J. D., Huang, Y., Arroyo, M. C., and Frenzel, H.: Amplified subsurface signals of ocean acidification, Global Biogeochemical Cycles, 37, e2023GB007843, https://doi.org/10.1029/2023GB007843, 2023. </v>
      </c>
    </row>
    <row r="59">
      <c r="A59" s="29">
        <v>58.0</v>
      </c>
      <c r="B59" s="29" t="str">
        <f>HLOOKUP(B$1,google_form!$1:$216,$A59,FALSE)</f>
        <v>Gridded subsurface</v>
      </c>
      <c r="C59" s="29" t="str">
        <f>HLOOKUP(C$1,google_form!$1:$216,$A59,FALSE)</f>
        <v>Ocean Interior Acidification over the Industrial Era</v>
      </c>
      <c r="D59" s="29" t="str">
        <f>HLOOKUP(D$1,google_form!$1:$216,$A59,FALSE)</f>
        <v>Müller et al. (2024)</v>
      </c>
      <c r="E59" s="33" t="str">
        <f>HLOOKUP(E$1,google_form!$1:$216,$A59,FALSE)</f>
        <v>https://i.ibb.co/YT3rjvDc/sciadv-ado3103-f1.jpg</v>
      </c>
      <c r="F59" s="29" t="str">
        <f t="shared" ref="F59:G59" si="228">if(ISBLANK($C59), "", F$1)</f>
        <v>fa-solid fa-globe</v>
      </c>
      <c r="G59" s="29" t="str">
        <f t="shared" si="228"/>
        <v>Spatial domains</v>
      </c>
      <c r="H59" s="29" t="str">
        <f>HLOOKUP(H$1,google_form!$1:$196,$A59,FALSE)</f>
        <v>Open ocean, Water column</v>
      </c>
      <c r="I59" s="29" t="str">
        <f t="shared" ref="I59:J59" si="229">if(ISBLANK($C59), "", I$1)</f>
        <v>fa-solid fa-hourglass-start</v>
      </c>
      <c r="J59" s="29" t="str">
        <f t="shared" si="229"/>
        <v>Temporal resolution</v>
      </c>
      <c r="K59" s="29" t="str">
        <f>HLOOKUP(K$1,google_form!$1:$196,$A59,FALSE)</f>
        <v>decadal</v>
      </c>
      <c r="L59" s="29" t="str">
        <f t="shared" ref="L59:M59" si="230">if(ISBLANK($C59), "", L$1)</f>
        <v>fa-solid fa-ruler-horizontal</v>
      </c>
      <c r="M59" s="29" t="str">
        <f t="shared" si="230"/>
        <v>Spatial resolution</v>
      </c>
      <c r="N59" s="34" t="str">
        <f>HLOOKUP(N$1,google_form!$1:$196,$A59,FALSE)</f>
        <v>1° x 1°</v>
      </c>
      <c r="O59" s="29" t="str">
        <f t="shared" ref="O59:P59" si="231">if(ISBLANK($C59), "", O$1)</f>
        <v>fa-solid fa-calendar-days</v>
      </c>
      <c r="P59" s="29" t="str">
        <f t="shared" si="231"/>
        <v>Period</v>
      </c>
      <c r="Q59" s="29" t="str">
        <f>HLOOKUP(Q$1,google_form!$1:$196,$A59,FALSE)</f>
        <v>1800 - 2014</v>
      </c>
      <c r="R59" s="29" t="str">
        <f>HLOOKUP(R$1,google_form!$1:$196,$A59,FALSE)</f>
        <v>Temporal trends in the progression of acidification in the interior ocean are resolved</v>
      </c>
      <c r="S59" s="29" t="str">
        <f>HLOOKUP(S$1,google_form!$1:$196,$A59,FALSE)</f>
        <v>Müller et al. (2024)</v>
      </c>
      <c r="T59" s="33" t="str">
        <f>HLOOKUP(T$1,google_form!$1:$196,$A59,FALSE)</f>
        <v>https://doi.org/10.1126/sciadv.ado3103</v>
      </c>
      <c r="U59" s="33" t="str">
        <f>HLOOKUP(U$1,google_form!$1:$196,$A59,FALSE)</f>
        <v>https://doi.org/10.25921/tefm-x802</v>
      </c>
      <c r="V59" s="29" t="str">
        <f t="shared" si="10"/>
        <v>Description</v>
      </c>
      <c r="W59" s="29" t="str">
        <f>HLOOKUP(W$1,google_form!$1:$196,$A59,FALSE)</f>
        <v>Building on the total anthropogenic carbon estimates for 1994 from Sabine et al. (2004) and the decadal changes between 1994 and 2014 reconstructed by Müller et al. (2023a), Müller and Gruber (2024a) quantified ocean interior acidification over the industrial era. To convert the increasing anthropogenic carbon concentrations into acidification estimates, their approach relied on time-invariant climatologies of ocean interior DIC, TA, temperature, salinity, and other relevant variables to determine the background state of the marine carbonate system. Hence, their estimates resolve exclusively the acidification driven by the anthropogenic carbon accumulation. In contrast to direct observations of acidification variables, such as those collected at time-series stations, this approach does not account for changes in the natural carbon cycle or the displacement of water masses.</v>
      </c>
      <c r="X59" s="29" t="str">
        <f t="shared" si="11"/>
        <v>Reference</v>
      </c>
      <c r="Y59" s="29" t="str">
        <f>HLOOKUP(Y$1,google_form!$1:$196,$A59,FALSE)</f>
        <v>Jens D. Müller, Nicolas Gruber, Progression of ocean interior acidification over the industrial era. Sci. Adv.10, eado3103(2024). DOI:10.1126/sciadv.ado3103</v>
      </c>
    </row>
    <row r="60">
      <c r="A60" s="29">
        <v>59.0</v>
      </c>
      <c r="B60" s="29" t="str">
        <f>HLOOKUP(B$1,google_form!$1:$216,$A60,FALSE)</f>
        <v>Gridded subsurface</v>
      </c>
      <c r="C60" s="29" t="str">
        <f>HLOOKUP(C$1,google_form!$1:$216,$A60,FALSE)</f>
        <v>Anthropogenic CO2 from 1994 to 2007</v>
      </c>
      <c r="D60" s="29" t="str">
        <f>HLOOKUP(D$1,google_form!$1:$216,$A60,FALSE)</f>
        <v>Gruber et al. (2019) </v>
      </c>
      <c r="E60" s="33" t="str">
        <f>HLOOKUP(E$1,google_form!$1:$216,$A60,FALSE)</f>
        <v>https://www.ncei.noaa.gov/data/oceans/archive/arc0132/0186034/1.1/about/0186034_preview.jpg</v>
      </c>
      <c r="F60" s="29" t="str">
        <f t="shared" ref="F60:G60" si="232">if(ISBLANK($C60), "", F$1)</f>
        <v>fa-solid fa-globe</v>
      </c>
      <c r="G60" s="29" t="str">
        <f t="shared" si="232"/>
        <v>Spatial domains</v>
      </c>
      <c r="H60" s="29" t="str">
        <f>HLOOKUP(H$1,google_form!$1:$196,$A60,FALSE)</f>
        <v>Open ocean, Water column</v>
      </c>
      <c r="I60" s="29" t="str">
        <f t="shared" ref="I60:J60" si="233">if(ISBLANK($C60), "", I$1)</f>
        <v>fa-solid fa-hourglass-start</v>
      </c>
      <c r="J60" s="29" t="str">
        <f t="shared" si="233"/>
        <v>Temporal resolution</v>
      </c>
      <c r="K60" s="29" t="str">
        <f>HLOOKUP(K$1,google_form!$1:$196,$A60,FALSE)</f>
        <v>climatology</v>
      </c>
      <c r="L60" s="29" t="str">
        <f t="shared" ref="L60:M60" si="234">if(ISBLANK($C60), "", L$1)</f>
        <v>fa-solid fa-ruler-horizontal</v>
      </c>
      <c r="M60" s="29" t="str">
        <f t="shared" si="234"/>
        <v>Spatial resolution</v>
      </c>
      <c r="N60" s="34" t="str">
        <f>HLOOKUP(N$1,google_form!$1:$196,$A60,FALSE)</f>
        <v>1° x 1°</v>
      </c>
      <c r="O60" s="29" t="str">
        <f t="shared" ref="O60:P60" si="235">if(ISBLANK($C60), "", O$1)</f>
        <v>fa-solid fa-calendar-days</v>
      </c>
      <c r="P60" s="29" t="str">
        <f t="shared" si="235"/>
        <v>Period</v>
      </c>
      <c r="Q60" s="29" t="str">
        <f>HLOOKUP(Q$1,google_form!$1:$196,$A60,FALSE)</f>
        <v>1994 - 2007</v>
      </c>
      <c r="R60" s="29" t="str">
        <f>HLOOKUP(R$1,google_form!$1:$196,$A60,FALSE)</f>
        <v>The oceanic sink for anthropogenic CO2 over the period 1994 to 2007</v>
      </c>
      <c r="S60" s="29" t="str">
        <f>HLOOKUP(S$1,google_form!$1:$196,$A60,FALSE)</f>
        <v>Gruber et al. (2019) </v>
      </c>
      <c r="T60" s="33" t="str">
        <f>HLOOKUP(T$1,google_form!$1:$196,$A60,FALSE)</f>
        <v>https://doi.org/10.1126/science.aau5153</v>
      </c>
      <c r="U60" s="33" t="str">
        <f>HLOOKUP(U$1,google_form!$1:$196,$A60,FALSE)</f>
        <v>https://www.ncei.noaa.gov/data/oceans/ncei/ocads/metadata/0186034.html</v>
      </c>
      <c r="V60" s="29" t="str">
        <f t="shared" si="10"/>
        <v>Description</v>
      </c>
      <c r="W60" s="29" t="str">
        <f>HLOOKUP(W$1,google_form!$1:$196,$A60,FALSE)</f>
        <v>Gruber et al. (2019a) estimated the decadal time-scale changes in the oceanic content of anthropogenic CO2 (∆Cant) between 1994 to 2007. The results were derived from the GLODAPv2.2016 product (Olsen et al., 2016), utilizing the eMLR(C*) methodology pioneered by Clement and Gruber (2018). The product is combined with the estimated amount of Cant for 1994 derived by Sabine et al. (2004) from GLODAPv1 to infer Cant for 2007. </v>
      </c>
      <c r="X60" s="29" t="str">
        <f t="shared" si="11"/>
        <v>Reference</v>
      </c>
      <c r="Y60" s="29" t="str">
        <f>HLOOKUP(Y$1,google_form!$1:$196,$A60,FALSE)</f>
        <v>Gruber, N., Clement, D., Carter, B. R., Feely, R. A., van Heuven, S., Hoppema, M., Ishii, M., Key, R. M., Kozyr, A., Lauvset, S. K., Lo Monaco, C., Mathis, J. T., Murata, A., Olsen, A., Perez, F. F., Sabine, C. L., Tanhua, T., and Wanninkhof, R.: The oceanic sink for anthropogenic CO2 from 1994 to 2007, Science, 363(6432), 1193–1199, https://doi.org/10.1126/science.aau5153, 2019. </v>
      </c>
    </row>
    <row r="61">
      <c r="A61" s="29">
        <v>60.0</v>
      </c>
      <c r="B61" s="29" t="str">
        <f>HLOOKUP(B$1,google_form!$1:$216,$A61,FALSE)</f>
        <v>Gridded subsurface</v>
      </c>
      <c r="C61" s="29" t="str">
        <f>HLOOKUP(C$1,google_form!$1:$216,$A61,FALSE)</f>
        <v>Decadal Trends in Anthropogenic CO2 from 1994 to 2014</v>
      </c>
      <c r="D61" s="29" t="str">
        <f>HLOOKUP(D$1,google_form!$1:$216,$A61,FALSE)</f>
        <v>Müller et al. (2023)</v>
      </c>
      <c r="E61" s="33" t="str">
        <f>HLOOKUP(E$1,google_form!$1:$216,$A61,FALSE)</f>
        <v>https://eos.org/wp-content/uploads/2023/08/Fig2_highlight.jpg</v>
      </c>
      <c r="F61" s="29" t="str">
        <f t="shared" ref="F61:G61" si="236">if(ISBLANK($C61), "", F$1)</f>
        <v>fa-solid fa-globe</v>
      </c>
      <c r="G61" s="29" t="str">
        <f t="shared" si="236"/>
        <v>Spatial domains</v>
      </c>
      <c r="H61" s="29" t="str">
        <f>HLOOKUP(H$1,google_form!$1:$196,$A61,FALSE)</f>
        <v>Open ocean, Water column</v>
      </c>
      <c r="I61" s="29" t="str">
        <f t="shared" ref="I61:J61" si="237">if(ISBLANK($C61), "", I$1)</f>
        <v>fa-solid fa-hourglass-start</v>
      </c>
      <c r="J61" s="29" t="str">
        <f t="shared" si="237"/>
        <v>Temporal resolution</v>
      </c>
      <c r="K61" s="29" t="str">
        <f>HLOOKUP(K$1,google_form!$1:$196,$A61,FALSE)</f>
        <v>decadal</v>
      </c>
      <c r="L61" s="29" t="str">
        <f t="shared" ref="L61:M61" si="238">if(ISBLANK($C61), "", L$1)</f>
        <v>fa-solid fa-ruler-horizontal</v>
      </c>
      <c r="M61" s="29" t="str">
        <f t="shared" si="238"/>
        <v>Spatial resolution</v>
      </c>
      <c r="N61" s="34" t="str">
        <f>HLOOKUP(N$1,google_form!$1:$196,$A61,FALSE)</f>
        <v>1° x 1°</v>
      </c>
      <c r="O61" s="29" t="str">
        <f t="shared" ref="O61:P61" si="239">if(ISBLANK($C61), "", O$1)</f>
        <v>fa-solid fa-calendar-days</v>
      </c>
      <c r="P61" s="29" t="str">
        <f t="shared" si="239"/>
        <v>Period</v>
      </c>
      <c r="Q61" s="29" t="str">
        <f>HLOOKUP(Q$1,google_form!$1:$196,$A61,FALSE)</f>
        <v>1994 - 2014</v>
      </c>
      <c r="R61" s="29" t="str">
        <f>HLOOKUP(R$1,google_form!$1:$196,$A61,FALSE)</f>
        <v>Temporal trends in the accumulation of anthropogenic CO2 in the interior ocean are resolved</v>
      </c>
      <c r="S61" s="29" t="str">
        <f>HLOOKUP(S$1,google_form!$1:$196,$A61,FALSE)</f>
        <v>Müller et al. (2023)</v>
      </c>
      <c r="T61" s="33" t="str">
        <f>HLOOKUP(T$1,google_form!$1:$196,$A61,FALSE)</f>
        <v>https://doi.org/10.1029/2023AV000875</v>
      </c>
      <c r="U61" s="33" t="str">
        <f>HLOOKUP(U$1,google_form!$1:$196,$A61,FALSE)</f>
        <v>https://doi.org/10.25921/ppcf-w020</v>
      </c>
      <c r="V61" s="29" t="str">
        <f t="shared" si="10"/>
        <v>Description</v>
      </c>
      <c r="W61" s="29" t="str">
        <f>HLOOKUP(W$1,google_form!$1:$196,$A61,FALSE)</f>
        <v>Müller et al. (2023a) extended the analysis by Gruber et al. (2019a) to reconstruct decadal trends in the oceanic storage of ∆Cant in the global ocean interior from mid-year 1994 to mid-year 2004, and further to mid-year 2014. They applied the extended multiple linear regression (eMLR) method (Clement and Gruber, 2018) to ship-borne observations of DIC and other biogeochemical variables from GLODAPv2.2021 (Lauvset et al., 2021).</v>
      </c>
      <c r="X61" s="29" t="str">
        <f t="shared" si="11"/>
        <v>Reference</v>
      </c>
      <c r="Y61" s="29" t="str">
        <f>HLOOKUP(Y$1,google_form!$1:$196,$A61,FALSE)</f>
        <v> Müller, J. D., Gruber, N., Carter, B., Feely, R., Ishii, M., Lange, N., et al. (2023). Decadal trends in the oceanic storage of anthropogenic carbon from 1994 to 2014. AGU Advances, 4, e2023AV000875. https://doi.org/10.1029/2023AV000875</v>
      </c>
    </row>
    <row r="62">
      <c r="A62" s="29">
        <v>61.0</v>
      </c>
      <c r="B62" s="29" t="str">
        <f>HLOOKUP(B$1,google_form!$1:$216,$A62,FALSE)</f>
        <v>Gridded subsurface</v>
      </c>
      <c r="C62" s="29" t="str">
        <f>HLOOKUP(C$1,google_form!$1:$216,$A62,FALSE)</f>
        <v>Anthropogenic carbon from 1750 to 2500 (TRACE)</v>
      </c>
      <c r="D62" s="29" t="str">
        <f>HLOOKUP(D$1,google_form!$1:$216,$A62,FALSE)</f>
        <v>Carter et al. (2025)</v>
      </c>
      <c r="E62" s="33" t="str">
        <f>HLOOKUP(E$1,google_form!$1:$216,$A62,FALSE)</f>
        <v>https://essd.copernicus.org/articles/17/3073/2025/essd-17-3073-2025-avatar-web.png</v>
      </c>
      <c r="F62" s="29" t="str">
        <f t="shared" ref="F62:G62" si="240">if(ISBLANK($C62), "", F$1)</f>
        <v>fa-solid fa-globe</v>
      </c>
      <c r="G62" s="29" t="str">
        <f t="shared" si="240"/>
        <v>Spatial domains</v>
      </c>
      <c r="H62" s="29" t="str">
        <f>HLOOKUP(H$1,google_form!$1:$196,$A62,FALSE)</f>
        <v>Open ocean, Surface, Water column</v>
      </c>
      <c r="I62" s="29" t="str">
        <f t="shared" ref="I62:J62" si="241">if(ISBLANK($C62), "", I$1)</f>
        <v>fa-solid fa-hourglass-start</v>
      </c>
      <c r="J62" s="29" t="str">
        <f t="shared" si="241"/>
        <v>Temporal resolution</v>
      </c>
      <c r="K62" s="29" t="str">
        <f>HLOOKUP(K$1,google_form!$1:$196,$A62,FALSE)</f>
        <v>irregular</v>
      </c>
      <c r="L62" s="29" t="str">
        <f t="shared" ref="L62:M62" si="242">if(ISBLANK($C62), "", L$1)</f>
        <v>fa-solid fa-ruler-horizontal</v>
      </c>
      <c r="M62" s="29" t="str">
        <f t="shared" si="242"/>
        <v>Spatial resolution</v>
      </c>
      <c r="N62" s="34" t="str">
        <f>HLOOKUP(N$1,google_form!$1:$196,$A62,FALSE)</f>
        <v>1° x 1°</v>
      </c>
      <c r="O62" s="29" t="str">
        <f t="shared" ref="O62:P62" si="243">if(ISBLANK($C62), "", O$1)</f>
        <v>fa-solid fa-calendar-days</v>
      </c>
      <c r="P62" s="29" t="str">
        <f t="shared" si="243"/>
        <v>Period</v>
      </c>
      <c r="Q62" s="29" t="str">
        <f>HLOOKUP(Q$1,google_form!$1:$196,$A62,FALSE)</f>
        <v>1750-2500</v>
      </c>
      <c r="R62" s="29" t="str">
        <f>HLOOKUP(R$1,google_form!$1:$196,$A62,FALSE)</f>
        <v>New methods for rapidly estimating anthropogenic carbon from temperature, salinity, and date are presented.  The methods are then used with SSPs to estimate anthropogenic carbon in the ocean globally from 1750 to 2500.</v>
      </c>
      <c r="S62" s="29" t="str">
        <f>HLOOKUP(S$1,google_form!$1:$196,$A62,FALSE)</f>
        <v>Carter et al. (2025)</v>
      </c>
      <c r="T62" s="33" t="str">
        <f>HLOOKUP(T$1,google_form!$1:$196,$A62,FALSE)</f>
        <v>https://doi.org/10.5194/essd-17-3073-2025</v>
      </c>
      <c r="U62" s="33" t="str">
        <f>HLOOKUP(U$1,google_form!$1:$196,$A62,FALSE)</f>
        <v>https://zenodo.org/records/15692788</v>
      </c>
      <c r="V62" s="29" t="str">
        <f t="shared" si="10"/>
        <v>Description</v>
      </c>
      <c r="W62" s="29" t="str">
        <f>HLOOKUP(W$1,google_form!$1:$196,$A62,FALSE)</f>
        <v>Here, we make modifications to the transit time distribution approach for Canth estimation that render the method more accessible. We also release software (BRCScienceProducts, 2025) called “Tracer-based Rapid Anthropogenic Carbon Estimation version 1” (TRACEv1) that allows users – with one line of code – to obtain Canth and water mass age estimates throughout the global open ocean from user-supplied values of geographic location, pressure, salinity, temperature, and the estimate year. We use this code to generate a data product of global gridded open-ocean Canth distributions (TRACEv1_GGCanth; Carter, 2025) that ranges from the preindustrial era through 2500 under a range of Shared Socioeconomic Pathways (SSPs, or atmospheric CO2 concentration pathways). We estimated the skill of these estimates by reconstructing Canth in models with known distributions of Canth and transient tracers and by conducting perturbation tests. In the model-based reconstruction test, TRACEv1 reproduces the global ocean Canth inventory to within ±10 % in 1980 and 2014. We discuss implications and limitations of the projected Canth distributions and highlight ways that the estimation strategy might be improved. One finding is that the ocean will continue to increase its net Canth inventory at least through 2500 due to deep-ocean ventilation, even with the SSP in which intense mitigation successfully decreases atmospheric Canth by ∼60 % in 2500 relative to the 2024 concentration. A notable limitation of this and similar projections made with TRACEv1 is that ongoing and potential future warming and changing oceanic circulation patterns with climate change are not captured by the method. The data products generated by this research are available as MATLAB code (https://doi.org/10.5281/zenodo.15692788, BRCScienceProducts, 2025) and a spatially and temporally gridded data product (https://doi.org/10.5281/zenodo.15692788, BRCScienceProducts, 2025).</v>
      </c>
      <c r="X62" s="29" t="str">
        <f t="shared" si="11"/>
        <v>Reference</v>
      </c>
      <c r="Y62" s="29" t="str">
        <f>HLOOKUP(Y$1,google_form!$1:$196,$A62,FALSE)</f>
        <v>Carter, B. R., Schwinger, J., Sonnerup, R., Fassbender, A. J., Sharp, J. D., Dias, L. M., &amp; Sandborn, D. E. (2025). Tracer-based Rapid Anthropogenic Carbon Estimation (TRACE). Earth System Science Data, 17(6), 3073-3088.</v>
      </c>
    </row>
    <row r="63">
      <c r="A63" s="29">
        <v>62.0</v>
      </c>
      <c r="B63" s="29" t="str">
        <f>HLOOKUP(B$1,google_form!$1:$216,$A63,FALSE)</f>
        <v>Gridded subsurface</v>
      </c>
      <c r="C63" s="29" t="str">
        <f>HLOOKUP(C$1,google_form!$1:$216,$A63,FALSE)</f>
        <v>Preformed TA and other biogeochemical properties </v>
      </c>
      <c r="D63" s="29" t="str">
        <f>HLOOKUP(D$1,google_form!$1:$216,$A63,FALSE)</f>
        <v>Carter et al. (2021)</v>
      </c>
      <c r="E63" s="33" t="str">
        <f>HLOOKUP(E$1,google_form!$1:$216,$A63,FALSE)</f>
        <v>https://i.ibb.co/S488KKjG/gbc21075-fig-0003-m.jpg</v>
      </c>
      <c r="F63" s="29" t="str">
        <f t="shared" ref="F63:G63" si="244">if(ISBLANK($C63), "", F$1)</f>
        <v>fa-solid fa-globe</v>
      </c>
      <c r="G63" s="29" t="str">
        <f t="shared" si="244"/>
        <v>Spatial domains</v>
      </c>
      <c r="H63" s="29" t="str">
        <f>HLOOKUP(H$1,google_form!$1:$196,$A63,FALSE)</f>
        <v>Open ocean, Water column</v>
      </c>
      <c r="I63" s="29" t="str">
        <f t="shared" ref="I63:J63" si="245">if(ISBLANK($C63), "", I$1)</f>
        <v>fa-solid fa-hourglass-start</v>
      </c>
      <c r="J63" s="29" t="str">
        <f t="shared" si="245"/>
        <v>Temporal resolution</v>
      </c>
      <c r="K63" s="29" t="str">
        <f>HLOOKUP(K$1,google_form!$1:$196,$A63,FALSE)</f>
        <v>climatology</v>
      </c>
      <c r="L63" s="29" t="str">
        <f t="shared" ref="L63:M63" si="246">if(ISBLANK($C63), "", L$1)</f>
        <v>fa-solid fa-ruler-horizontal</v>
      </c>
      <c r="M63" s="29" t="str">
        <f t="shared" si="246"/>
        <v>Spatial resolution</v>
      </c>
      <c r="N63" s="34" t="str">
        <f>HLOOKUP(N$1,google_form!$1:$196,$A63,FALSE)</f>
        <v>1° x 1°</v>
      </c>
      <c r="O63" s="29" t="str">
        <f t="shared" ref="O63:P63" si="247">if(ISBLANK($C63), "", O$1)</f>
        <v>fa-solid fa-calendar-days</v>
      </c>
      <c r="P63" s="29" t="str">
        <f t="shared" si="247"/>
        <v>Period</v>
      </c>
      <c r="Q63" s="29" t="str">
        <f>HLOOKUP(Q$1,google_form!$1:$196,$A63,FALSE)</f>
        <v/>
      </c>
      <c r="R63" s="29" t="str">
        <f>HLOOKUP(R$1,google_form!$1:$196,$A63,FALSE)</f>
        <v>We have updated global preformed biogeochemical property estimates and provided the estimates for analysis and model validation</v>
      </c>
      <c r="S63" s="29" t="str">
        <f>HLOOKUP(S$1,google_form!$1:$196,$A63,FALSE)</f>
        <v>Carter et al. (2021)</v>
      </c>
      <c r="T63" s="33" t="str">
        <f>HLOOKUP(T$1,google_form!$1:$196,$A63,FALSE)</f>
        <v>https://zenodo.org/records/3745002</v>
      </c>
      <c r="U63" s="33" t="str">
        <f>HLOOKUP(U$1,google_form!$1:$196,$A63,FALSE)</f>
        <v>https://github.com/BRCScienceProducts/PreformedPropertyEstimates</v>
      </c>
      <c r="V63" s="29" t="str">
        <f t="shared" si="10"/>
        <v>Description</v>
      </c>
      <c r="W63" s="29" t="str">
        <f>HLOOKUP(W$1,google_form!$1:$196,$A63,FALSE)</f>
        <v>We estimate preformed ocean phosphate, nitrate, oxygen, silicate, and alkalinity by combining a reconstruction of ventilation pathways in the ocean interior with estimates of submixed layer properties. These new preformed property estimates are intended to aid biogeochemical cycling studies and validation of modeled preformed property distributions and are available online. Analyses of net property accumulations (observed minus preformed properties) indicate net remineralization ratios in the ocean interior of [1 P]: [14.1 ± 0.6 N]: [−141 ± 12 O2]: [95 ± 25 Si]: [89 ± 9 TA]. These ratios imply that the interior ocean stores 1,300 (±230) PgC through organic matter remineralization and 540 (±60) PgC through carbonate mineral dissolution and that apparent oxygen utilization can overestimate the interior ocean oxygen consumption by ~25%. Further, only 4 (±1%) and 46 (±5%) of the total alkalinity accumulated from carbonate mineral dissolution are found in seawater that is supersaturated with respect to the aragonite and calcite mineral forms of calcium carbonate, respectively. These small excess alkalinity inventories are due to smaller volumes of the supersaturated water masses and shorter ventilation timescales, as carbonate mineral dissolution rates appear nearly independent of depth and saturation state.</v>
      </c>
      <c r="X63" s="29" t="str">
        <f t="shared" si="11"/>
        <v>Reference</v>
      </c>
      <c r="Y63" s="29" t="str">
        <f>HLOOKUP(Y$1,google_form!$1:$196,$A63,FALSE)</f>
        <v>Carter, B. R., Feely, R. A., Lauvset, S. K., Olsen, A., DeVries, T., &amp; Sonnerup, R. (2021). Preformed properties for marine organic matter and carbonate mineral cycling quantification. Global Biogeochemical Cycles, 35(1), e2020GB006623.</v>
      </c>
    </row>
    <row r="64">
      <c r="A64" s="29">
        <v>63.0</v>
      </c>
      <c r="B64" s="29" t="str">
        <f>HLOOKUP(B$1,google_form!$1:$216,$A64,FALSE)</f>
        <v>Gridded subsurface</v>
      </c>
      <c r="C64" s="29" t="str">
        <f>HLOOKUP(C$1,google_form!$1:$216,$A64,FALSE)</f>
        <v>Monthly Interior Ocean pH Climatology</v>
      </c>
      <c r="D64" s="29" t="str">
        <f>HLOOKUP(D$1,google_form!$1:$216,$A64,FALSE)</f>
        <v>Zhong et al. (2025)</v>
      </c>
      <c r="E64" s="33" t="str">
        <f>HLOOKUP(E$1,google_form!$1:$216,$A64,FALSE)</f>
        <v>https://appletmsdc.qdio.ac.cn//files/metadata/images/2025-11-07_1681888486837194754/DATA2023000009_zhongguorong_1.jpg</v>
      </c>
      <c r="F64" s="29" t="str">
        <f t="shared" ref="F64:G64" si="248">if(ISBLANK($C64), "", F$1)</f>
        <v>fa-solid fa-globe</v>
      </c>
      <c r="G64" s="29" t="str">
        <f t="shared" si="248"/>
        <v>Spatial domains</v>
      </c>
      <c r="H64" s="29" t="str">
        <f>HLOOKUP(H$1,google_form!$1:$196,$A64,FALSE)</f>
        <v>Open ocean, Water column</v>
      </c>
      <c r="I64" s="29" t="str">
        <f t="shared" ref="I64:J64" si="249">if(ISBLANK($C64), "", I$1)</f>
        <v>fa-solid fa-hourglass-start</v>
      </c>
      <c r="J64" s="29" t="str">
        <f t="shared" si="249"/>
        <v>Temporal resolution</v>
      </c>
      <c r="K64" s="29" t="str">
        <f>HLOOKUP(K$1,google_form!$1:$196,$A64,FALSE)</f>
        <v>monthly</v>
      </c>
      <c r="L64" s="29" t="str">
        <f t="shared" ref="L64:M64" si="250">if(ISBLANK($C64), "", L$1)</f>
        <v>fa-solid fa-ruler-horizontal</v>
      </c>
      <c r="M64" s="29" t="str">
        <f t="shared" si="250"/>
        <v>Spatial resolution</v>
      </c>
      <c r="N64" s="34" t="str">
        <f>HLOOKUP(N$1,google_form!$1:$196,$A64,FALSE)</f>
        <v>1° x 1°</v>
      </c>
      <c r="O64" s="29" t="str">
        <f t="shared" ref="O64:P64" si="251">if(ISBLANK($C64), "", O$1)</f>
        <v>fa-solid fa-calendar-days</v>
      </c>
      <c r="P64" s="29" t="str">
        <f t="shared" si="251"/>
        <v>Period</v>
      </c>
      <c r="Q64" s="29" t="str">
        <f>HLOOKUP(Q$1,google_form!$1:$196,$A64,FALSE)</f>
        <v>1992 - 2020</v>
      </c>
      <c r="R64" s="29" t="str">
        <f>HLOOKUP(R$1,google_form!$1:$196,$A64,FALSE)</f>
        <v>Temporal variability of pH in the interior ocean from surface to 2000 m over 3 decades</v>
      </c>
      <c r="S64" s="29" t="str">
        <f>HLOOKUP(S$1,google_form!$1:$196,$A64,FALSE)</f>
        <v>Zhong et al. (2025)</v>
      </c>
      <c r="T64" s="33" t="str">
        <f>HLOOKUP(T$1,google_form!$1:$196,$A64,FALSE)</f>
        <v> http://doi.org/10.12157/IOCAS.20230720.001</v>
      </c>
      <c r="U64" s="33" t="str">
        <f>HLOOKUP(U$1,google_form!$1:$196,$A64,FALSE)</f>
        <v> http://doi.org/10.12157/IOCAS.20230720.001</v>
      </c>
      <c r="V64" s="29" t="str">
        <f t="shared" si="10"/>
        <v>Description</v>
      </c>
      <c r="W64" s="29" t="str">
        <f>HLOOKUP(W$1,google_form!$1:$196,$A64,FALSE)</f>
        <v>A monthly 1° × 1° gridded global seawater pH (total scale) climatology from 1992 to 2020 at in situ temperature, derived using a machine learning algorithm trained on pH observations from GLODAPv2. The product spans from 1992 to 2020 and covers depths from the surface to 2000 m across 41 vertical levels.</v>
      </c>
      <c r="X64" s="29" t="str">
        <f t="shared" si="11"/>
        <v>Reference</v>
      </c>
      <c r="Y64" s="29" t="str">
        <f>HLOOKUP(Y$1,google_form!$1:$196,$A64,FALSE)</f>
        <v>Zhong, G., Li, X., Song, J., Qu, B., Wang, F., Wang, Y., Zhang, B., Cheng, L., Ma, J., Yuan, H., Duan, L., Li, N., Wang, Q., Xing, J., and Dai, J. 2025. A global monthly 3D field of seawater pH over 3 decades: a machine learning approach, Earth Syst. Sci. Data, 17, 719–740, https://doi.org/10.5194/essd-17-719-2025.</v>
      </c>
    </row>
    <row r="65">
      <c r="A65" s="29">
        <v>64.0</v>
      </c>
      <c r="B65" s="29" t="str">
        <f>HLOOKUP(B$1,google_form!$1:$216,$A65,FALSE)</f>
        <v>Gridded subsurface</v>
      </c>
      <c r="C65" s="29" t="str">
        <f>HLOOKUP(C$1,google_form!$1:$216,$A65,FALSE)</f>
        <v>CODAP-NA Climatology</v>
      </c>
      <c r="D65" s="29" t="str">
        <f>HLOOKUP(D$1,google_form!$1:$216,$A65,FALSE)</f>
        <v>Jiang et al. (2024)</v>
      </c>
      <c r="E65" s="33" t="str">
        <f>HLOOKUP(E$1,google_form!$1:$216,$A65,FALSE)</f>
        <v>https://essd.copernicus.org/articles/16/3383/2024/essd-16-3383-2024-avatar-web.png</v>
      </c>
      <c r="F65" s="29" t="str">
        <f t="shared" ref="F65:G65" si="252">if(ISBLANK($C65), "", F$1)</f>
        <v>fa-solid fa-globe</v>
      </c>
      <c r="G65" s="29" t="str">
        <f t="shared" si="252"/>
        <v>Spatial domains</v>
      </c>
      <c r="H65" s="29" t="str">
        <f>HLOOKUP(H$1,google_form!$1:$196,$A65,FALSE)</f>
        <v>Coastal ocean, Water column</v>
      </c>
      <c r="I65" s="29" t="str">
        <f t="shared" ref="I65:J65" si="253">if(ISBLANK($C65), "", I$1)</f>
        <v>fa-solid fa-hourglass-start</v>
      </c>
      <c r="J65" s="29" t="str">
        <f t="shared" si="253"/>
        <v>Temporal resolution</v>
      </c>
      <c r="K65" s="29" t="str">
        <f>HLOOKUP(K$1,google_form!$1:$196,$A65,FALSE)</f>
        <v>climatology</v>
      </c>
      <c r="L65" s="29" t="str">
        <f t="shared" ref="L65:M65" si="254">if(ISBLANK($C65), "", L$1)</f>
        <v>fa-solid fa-ruler-horizontal</v>
      </c>
      <c r="M65" s="29" t="str">
        <f t="shared" si="254"/>
        <v>Spatial resolution</v>
      </c>
      <c r="N65" s="34" t="str">
        <f>HLOOKUP(N$1,google_form!$1:$196,$A65,FALSE)</f>
        <v>1° x 1°</v>
      </c>
      <c r="O65" s="29" t="str">
        <f t="shared" ref="O65:P65" si="255">if(ISBLANK($C65), "", O$1)</f>
        <v>fa-solid fa-calendar-days</v>
      </c>
      <c r="P65" s="29" t="str">
        <f t="shared" si="255"/>
        <v>Period</v>
      </c>
      <c r="Q65" s="29" t="str">
        <f>HLOOKUP(Q$1,google_form!$1:$196,$A65,FALSE)</f>
        <v>2010</v>
      </c>
      <c r="R65" s="29" t="str">
        <f>HLOOKUP(R$1,google_form!$1:$196,$A65,FALSE)</f>
        <v>The first discrete bottle based climatology in the North American ocean margins</v>
      </c>
      <c r="S65" s="29" t="str">
        <f>HLOOKUP(S$1,google_form!$1:$196,$A65,FALSE)</f>
        <v>Jiang et al. (2024)</v>
      </c>
      <c r="T65" s="33" t="str">
        <f>HLOOKUP(T$1,google_form!$1:$196,$A65,FALSE)</f>
        <v>https://doi.org/10.5194/essd-16-3383-2024</v>
      </c>
      <c r="U65" s="33" t="str">
        <f>HLOOKUP(U$1,google_form!$1:$196,$A65,FALSE)</f>
        <v>https://www.ncei.noaa.gov/data/oceans/ncei/ocads/metadata/0270962.html</v>
      </c>
      <c r="V65" s="29" t="str">
        <f t="shared" si="10"/>
        <v>Description</v>
      </c>
      <c r="W65" s="29" t="str">
        <f>HLOOKUP(W$1,google_form!$1:$196,$A65,FALSE)</f>
        <v>Jiang et al. (2024) developed a coastal OA indicators climatology on a 1°×1° grid, covering North American ocean margins from surface to 500 m at 14 standardized depth levels. This product includes 10 key oceanographic variables: fCO2, pH, [H+]total, free hydrogen ion content ([H+]free), carbonate ion content ([CO32-]), Ωarag, Ωcalc, DIC, TA, and Revelle Factor (RF), as well as temperature and salinity. The climatology was produced with the WOA gridding technologies of the NOAA National Centers for Environmental Information (NCEI), based on the recently released Coastal Ocean Data Analysis Product in North America (CODAP-NA) (Jiang et al., 2021), along with GLODAPv2.2022 (Lauvset et al., 2022). The relevant variables were adjusted to the year of 2010 before the gridding. </v>
      </c>
      <c r="X65" s="29" t="str">
        <f t="shared" si="11"/>
        <v>Reference</v>
      </c>
      <c r="Y65" s="29" t="str">
        <f>HLOOKUP(Y$1,google_form!$1:$196,$A65,FALSE)</f>
        <v>Jiang, L.-Q., Boyer, T. P., Paver, C. R., Yoo, H., Reagan, J. R., Alin, S. R., Barbero, L., Carter, B. R., Feely, R. A., and Wanninkhof, R.: Climatological distribution of ocean acidification variables along the North American ocean margins, Earth System Science Data, 16(7), 3383–3390, https://doi.org/10.5194/essd-16-3383-2024, 2024. </v>
      </c>
    </row>
    <row r="66">
      <c r="A66" s="29">
        <v>65.0</v>
      </c>
      <c r="B66" s="29" t="str">
        <f>HLOOKUP(B$1,google_form!$1:$216,$A66,FALSE)</f>
        <v>Harmonized</v>
      </c>
      <c r="C66" s="29" t="str">
        <f>HLOOKUP(C$1,google_form!$1:$216,$A66,FALSE)</f>
        <v>SeaFlux</v>
      </c>
      <c r="D66" s="29" t="str">
        <f>HLOOKUP(D$1,google_form!$1:$216,$A66,FALSE)</f>
        <v>Fay and Gregor et al. (2021)</v>
      </c>
      <c r="E66" s="33" t="str">
        <f>HLOOKUP(E$1,google_form!$1:$216,$A66,FALSE)</f>
        <v>https://seaflux.readthedocs.io/en/latest/_static/seaflux_logo.png</v>
      </c>
      <c r="F66" s="29" t="str">
        <f t="shared" ref="F66:G66" si="256">if(ISBLANK($C66), "", F$1)</f>
        <v>fa-solid fa-globe</v>
      </c>
      <c r="G66" s="29" t="str">
        <f t="shared" si="256"/>
        <v>Spatial domains</v>
      </c>
      <c r="H66" s="29" t="str">
        <f>HLOOKUP(H$1,google_form!$1:$196,$A66,FALSE)</f>
        <v>Open ocean, Surface</v>
      </c>
      <c r="I66" s="29" t="str">
        <f t="shared" ref="I66:J66" si="257">if(ISBLANK($C66), "", I$1)</f>
        <v>fa-solid fa-hourglass-start</v>
      </c>
      <c r="J66" s="29" t="str">
        <f t="shared" si="257"/>
        <v>Temporal resolution</v>
      </c>
      <c r="K66" s="29" t="str">
        <f>HLOOKUP(K$1,google_form!$1:$196,$A66,FALSE)</f>
        <v>monthly</v>
      </c>
      <c r="L66" s="29" t="str">
        <f t="shared" ref="L66:M66" si="258">if(ISBLANK($C66), "", L$1)</f>
        <v>fa-solid fa-ruler-horizontal</v>
      </c>
      <c r="M66" s="29" t="str">
        <f t="shared" si="258"/>
        <v>Spatial resolution</v>
      </c>
      <c r="N66" s="34" t="str">
        <f>HLOOKUP(N$1,google_form!$1:$196,$A66,FALSE)</f>
        <v>1° x 1°</v>
      </c>
      <c r="O66" s="29" t="str">
        <f t="shared" ref="O66:P66" si="259">if(ISBLANK($C66), "", O$1)</f>
        <v>fa-solid fa-calendar-days</v>
      </c>
      <c r="P66" s="29" t="str">
        <f t="shared" si="259"/>
        <v>Period</v>
      </c>
      <c r="Q66" s="29" t="str">
        <f>HLOOKUP(Q$1,google_form!$1:$196,$A66,FALSE)</f>
        <v>1990 - 2022</v>
      </c>
      <c r="R66" s="29" t="str">
        <f>HLOOKUP(R$1,google_form!$1:$196,$A66,FALSE)</f>
        <v>Careful consideration of flux calculation provides a resource and code to the community for independent flux calculations</v>
      </c>
      <c r="S66" s="29" t="str">
        <f>HLOOKUP(S$1,google_form!$1:$196,$A66,FALSE)</f>
        <v>Fay and Gregor et al. (2021)</v>
      </c>
      <c r="T66" s="33" t="str">
        <f>HLOOKUP(T$1,google_form!$1:$196,$A66,FALSE)</f>
        <v>https://doi.org/10.5194/essd-2021-16</v>
      </c>
      <c r="U66" s="33" t="str">
        <f>HLOOKUP(U$1,google_form!$1:$196,$A66,FALSE)</f>
        <v>https://zenodo.org/records/8280457</v>
      </c>
      <c r="V66" s="29" t="str">
        <f t="shared" si="10"/>
        <v>Description</v>
      </c>
      <c r="W66" s="29" t="str">
        <f>HLOOKUP(W$1,google_form!$1:$196,$A66,FALSE)</f>
        <v>Harmonization of air–sea CO2 fluxes from surface pCO2 data products using a standardized approach (Gregor and Fay, 2021). This resource provides an ensemble of six pCO2 products with air-sea CO2 fluxes computed consistently. The six included products are: CMEMS-LSCEv1, CSIR-ML6, JENA-MLS, JMA-MLR, MPI-SOMFFN, and NIES-FNN. First, missing areas of pCO2 estimates (mostly high-latitude and marginal seas) are filled using a linear-regression approach, thus addressing differences in spatial coverage between the mapping products. Further, also accounts for methodological inconsistencies in flux calculations. Fluxes are calculated using three wind products (CCMPv2, ERA5, and JRA55) along with the application of a scaled gas exchange coefficient for each of the wind products. Through these steps, SeaFlux presents a product ensemble of interpolated global surface ocean pCO2 and air–sea carbon flux estimates for the years 1990–2019</v>
      </c>
      <c r="X66" s="29" t="str">
        <f t="shared" si="11"/>
        <v>Reference</v>
      </c>
      <c r="Y66" s="29" t="str">
        <f>HLOOKUP(Y$1,google_form!$1:$196,$A66,FALSE)</f>
        <v>Fay, A. R., Gregor, L., Landschützer, P., McKinley, G. A., Gruber, N., Gehlen, M., Iida, Y., Laruelle, G. G., Rödenbeck, C., Roobaert, A., and Zeng, J.: SeaFlux: harmonization of air–sea CO2 fluxes from surface pCO2 data products using a standardized approach, Earth Syst. Sci. Data, 13, 4693–4710, https://doi.org/10.5194/essd-13-4693-2021, 2021</v>
      </c>
    </row>
    <row r="67">
      <c r="A67" s="29">
        <v>66.0</v>
      </c>
      <c r="B67" s="29" t="str">
        <f>HLOOKUP(B$1,google_form!$1:$216,$A67,FALSE)</f>
        <v>Harmonized</v>
      </c>
      <c r="C67" s="29" t="str">
        <f>HLOOKUP(C$1,google_form!$1:$216,$A67,FALSE)</f>
        <v>RECCAP2</v>
      </c>
      <c r="D67" s="29" t="str">
        <f>HLOOKUP(D$1,google_form!$1:$216,$A67,FALSE)</f>
        <v>DeVries et al. (2023)</v>
      </c>
      <c r="E67" s="33" t="str">
        <f>HLOOKUP(E$1,google_form!$1:$216,$A67,FALSE)</f>
        <v>https://i.ibb.co/NgXDHSQh/gbc21476-fig-0001-m.jpg</v>
      </c>
      <c r="F67" s="29" t="str">
        <f t="shared" ref="F67:G67" si="260">if(ISBLANK($C67), "", F$1)</f>
        <v>fa-solid fa-globe</v>
      </c>
      <c r="G67" s="29" t="str">
        <f t="shared" si="260"/>
        <v>Spatial domains</v>
      </c>
      <c r="H67" s="29" t="str">
        <f>HLOOKUP(H$1,google_form!$1:$196,$A67,FALSE)</f>
        <v>Open ocean, Coastal ocean</v>
      </c>
      <c r="I67" s="29" t="str">
        <f t="shared" ref="I67:J67" si="261">if(ISBLANK($C67), "", I$1)</f>
        <v>fa-solid fa-hourglass-start</v>
      </c>
      <c r="J67" s="29" t="str">
        <f t="shared" si="261"/>
        <v>Temporal resolution</v>
      </c>
      <c r="K67" s="29" t="str">
        <f>HLOOKUP(K$1,google_form!$1:$196,$A67,FALSE)</f>
        <v>monthly</v>
      </c>
      <c r="L67" s="29" t="str">
        <f t="shared" ref="L67:M67" si="262">if(ISBLANK($C67), "", L$1)</f>
        <v>fa-solid fa-ruler-horizontal</v>
      </c>
      <c r="M67" s="29" t="str">
        <f t="shared" si="262"/>
        <v>Spatial resolution</v>
      </c>
      <c r="N67" s="34" t="str">
        <f>HLOOKUP(N$1,google_form!$1:$196,$A67,FALSE)</f>
        <v>1° x 1°</v>
      </c>
      <c r="O67" s="29" t="str">
        <f t="shared" ref="O67:P67" si="263">if(ISBLANK($C67), "", O$1)</f>
        <v>fa-solid fa-calendar-days</v>
      </c>
      <c r="P67" s="29" t="str">
        <f t="shared" si="263"/>
        <v>Period</v>
      </c>
      <c r="Q67" s="29" t="str">
        <f>HLOOKUP(Q$1,google_form!$1:$196,$A67,FALSE)</f>
        <v>1985-2018</v>
      </c>
      <c r="R67" s="29" t="str">
        <f>HLOOKUP(R$1,google_form!$1:$196,$A67,FALSE)</f>
        <v>Quality-controlled data compilation with a harmonized horizontal grid and temporal resolution </v>
      </c>
      <c r="S67" s="29" t="str">
        <f>HLOOKUP(S$1,google_form!$1:$196,$A67,FALSE)</f>
        <v>DeVries et al. (2023)</v>
      </c>
      <c r="T67" s="33" t="str">
        <f>HLOOKUP(T$1,google_form!$1:$196,$A67,FALSE)</f>
        <v>https://doi.org/10.1029/2023gb007780</v>
      </c>
      <c r="U67" s="33" t="str">
        <f>HLOOKUP(U$1,google_form!$1:$196,$A67,FALSE)</f>
        <v>https://zenodo.org/records/7990823</v>
      </c>
      <c r="V67" s="29" t="str">
        <f t="shared" si="10"/>
        <v>Description</v>
      </c>
      <c r="W67" s="29" t="str">
        <f>HLOOKUP(W$1,google_form!$1:$196,$A67,FALSE)</f>
        <v>In the context of the second iteration of the project REgional Carbon Cycle Assessment and Processes (RECCAP2), the ocean carbon community compiled, quality-controlled, and harmonized (in the sense of providing output on the same regular grid at the same spatial and temporal resolution) 12 GOBMs simulations, 11 pCO2 products, one ocean interior DIC product, and three data assimilation models to constrain the ocean carbon sink between 1985 and 2018. The RECCAP2 synthesis effort stands as a distinct but complementary resource to the GCB project (Friedlingstein et al., 2025), which primarily focuses on anthropogenically perturbed surface CO2 fluxes from a global budgeting perspective. The individual chapters of RECCAP2 were published in this special issue of Global Biogeochemical Cycles: https://agupubs.onlinelibrary.wiley.com/doi/toc/10.1002/(ISSN)2169-8961.RECCAP2. The data products of this assessment are available on a 1° × 1° horizontal grid, with monthly resolution for surface ocean variables such as air–sea CO2 fluxes, and annual resolution for interior ocean variables, such as DIC content. </v>
      </c>
      <c r="X67" s="29" t="str">
        <f t="shared" si="11"/>
        <v>Reference</v>
      </c>
      <c r="Y67" s="29" t="str">
        <f>HLOOKUP(Y$1,google_form!$1:$196,$A67,FALSE)</f>
        <v>DeVries, T., Yamamoto, K., Wanninkhof, R., Gruber, N., Hauck, J., Müller, J. D., Bopp, L., Carroll, D., Carter, B., Chau, T., Doney, S. C., Gehlen, M., Gloege, L., Gregor, L., Henson, S., Kim, J. H., Iida, Y., Ilyina, T., Landschützer, P., Le Quéré, C., Munro, D., Nissen, C., Patara, L., Pérez, F. F., Resplandy, L., Rodgers, K. B., Schwinger, J., Séférian, R., Sicardi, V., Terhaar, J., Triñanes, J., Tsujino, H., Watson, A., Yasunaka, S., Zeng, J. (2023). Magnitude, trends, and variability of the Global Ocean Carbon Sink from 1985 to 2018. Global Biogeochemical Cycles, 37(10). https://doi.org/10.1029/2023gb007780, 2023.</v>
      </c>
    </row>
    <row r="68">
      <c r="A68" s="29">
        <v>67.0</v>
      </c>
      <c r="B68" s="29" t="str">
        <f>HLOOKUP(B$1,google_form!$1:$216,$A68,FALSE)</f>
        <v>Harmonized</v>
      </c>
      <c r="C68" s="29" t="str">
        <f>HLOOKUP(C$1,google_form!$1:$216,$A68,FALSE)</f>
        <v>Global Carbon Budget</v>
      </c>
      <c r="D68" s="29" t="str">
        <f>HLOOKUP(D$1,google_form!$1:$216,$A68,FALSE)</f>
        <v>Friedlingstein et al. (2025)</v>
      </c>
      <c r="E68" s="33" t="str">
        <f>HLOOKUP(E$1,google_form!$1:$216,$A68,FALSE)</f>
        <v>https://i.ibb.co/TxwRM1tp/GCP.jpg</v>
      </c>
      <c r="F68" s="29" t="str">
        <f t="shared" ref="F68:G68" si="264">if(ISBLANK($C68), "", F$1)</f>
        <v>fa-solid fa-globe</v>
      </c>
      <c r="G68" s="29" t="str">
        <f t="shared" si="264"/>
        <v>Spatial domains</v>
      </c>
      <c r="H68" s="29" t="str">
        <f>HLOOKUP(H$1,google_form!$1:$196,$A68,FALSE)</f>
        <v>Open ocean, Coastal ocean, Surface, Water column</v>
      </c>
      <c r="I68" s="29" t="str">
        <f t="shared" ref="I68:J68" si="265">if(ISBLANK($C68), "", I$1)</f>
        <v>fa-solid fa-hourglass-start</v>
      </c>
      <c r="J68" s="29" t="str">
        <f t="shared" si="265"/>
        <v>Temporal resolution</v>
      </c>
      <c r="K68" s="29" t="str">
        <f>HLOOKUP(K$1,google_form!$1:$196,$A68,FALSE)</f>
        <v>monthly</v>
      </c>
      <c r="L68" s="29" t="str">
        <f t="shared" ref="L68:M68" si="266">if(ISBLANK($C68), "", L$1)</f>
        <v>fa-solid fa-ruler-horizontal</v>
      </c>
      <c r="M68" s="29" t="str">
        <f t="shared" si="266"/>
        <v>Spatial resolution</v>
      </c>
      <c r="N68" s="34" t="str">
        <f>HLOOKUP(N$1,google_form!$1:$196,$A68,FALSE)</f>
        <v>1° x 1°</v>
      </c>
      <c r="O68" s="29" t="str">
        <f t="shared" ref="O68:P68" si="267">if(ISBLANK($C68), "", O$1)</f>
        <v>fa-solid fa-calendar-days</v>
      </c>
      <c r="P68" s="29" t="str">
        <f t="shared" si="267"/>
        <v>Period</v>
      </c>
      <c r="Q68" s="29" t="str">
        <f>HLOOKUP(Q$1,google_form!$1:$196,$A68,FALSE)</f>
        <v>1959-2024</v>
      </c>
      <c r="R68" s="29" t="str">
        <f>HLOOKUP(R$1,google_form!$1:$196,$A68,FALSE)</f>
        <v>Annually updated and quality controlled data sets. Availability of monthly 4D ocean model output.</v>
      </c>
      <c r="S68" s="29" t="str">
        <f>HLOOKUP(S$1,google_form!$1:$196,$A68,FALSE)</f>
        <v>Friedlingstein et al. (2025)</v>
      </c>
      <c r="T68" s="33" t="str">
        <f>HLOOKUP(T$1,google_form!$1:$196,$A68,FALSE)</f>
        <v>https://doi.org/10.5194/essd-17-965-2025</v>
      </c>
      <c r="U68" s="33" t="str">
        <f>HLOOKUP(U$1,google_form!$1:$196,$A68,FALSE)</f>
        <v>https://doi.org/10.5281/zenodo.17579108</v>
      </c>
      <c r="V68" s="29" t="str">
        <f t="shared" si="10"/>
        <v>Description</v>
      </c>
      <c r="W68" s="29" t="str">
        <f>HLOOKUP(W$1,google_form!$1:$196,$A68,FALSE)</f>
        <v>Global Carbon Budget: The GCB collects annually updated estimates of the ocean carbon sink from currently nine fCO2-products and ten GOBMs for the period 1959 to the past calendar year (Friedlingstein et al., 2025, https://globalcarbonbudget.org/gcb-2024). In contrast to Earth System Models, the GOBMs are here forced with atmospheric reanalysis that ingested atmosphere and ocean observations and are thus thought to be closer to the observed climate. Gridded fields are provided on a 1° × 1° horizontal grid and monthly resolution. In addition, globally and regionally integrated air-sea CO2 fluxes from the native model grids are provided. Globally integrated time-series are adjusted for full ocean coverage and model bias and drift and are available for each individual fCO2-product and GOBM (https://globalcarbonbudget.org/download/1442/?tmstv=1731323337). The model data goes well beyond surface fluxes and includes data to analyze drivers of carbon fluxes, including several 3D variables. The model data request has been updated since RECCAP2 and also provides, for example, monthly interior ocean data of DIC, TA, nutrients and DO. The GOBM data request was also updated to have all variables available that are needed to serve as a testbed for fCO2-products (e.g., sea surface height).  Gridded surface data of sea surface fugacity and air-sea CO2 flux of all fCO2-products and GOBMs as used in the latest release of GCB (2024) are published on Zenodo (https://zenodo.org/records/14639761, Hauck et al., 2025). All other GOBM output is available via https://globalcarbonbudgetdata.org/closed-access-requests.html.</v>
      </c>
      <c r="X68" s="29" t="str">
        <f t="shared" si="11"/>
        <v>Reference</v>
      </c>
      <c r="Y68" s="29" t="str">
        <f>HLOOKUP(Y$1,google_form!$1:$196,$A68,FALSE)</f>
        <v>Friedlingstein, P., O’Sullivan, M., Jones, M. W., Andrew, R. M., Hauck, J., Landschützer, P., Le Quéré, C., Li, H., Luijkx, I. T., Olsen, A., Peters, G. P., Peters, W., Pongratz, J., Schwingshackl, C., Sitch, S., Canadell, J. G., Ciais, P., Jackson, R. B., Alin, S. R., … Zeng, J. (2025). Global Carbon Budget 2024. Earth System Science Data, 17(3), 965–1039. https://doi.org/10.5194/essd-17-965-2025</v>
      </c>
    </row>
    <row r="69">
      <c r="A69" s="29">
        <v>68.0</v>
      </c>
      <c r="B69" s="29" t="str">
        <f>HLOOKUP(B$1,google_form!$1:$216,$A69,FALSE)</f>
        <v>Model-based</v>
      </c>
      <c r="C69" s="29" t="str">
        <f>HLOOKUP(C$1,google_form!$1:$216,$A69,FALSE)</f>
        <v>Decadal Trends in the Ocean Carbon Sink</v>
      </c>
      <c r="D69" s="29" t="str">
        <f>HLOOKUP(D$1,google_form!$1:$216,$A69,FALSE)</f>
        <v>DeVries et al. (2019)</v>
      </c>
      <c r="E69" s="33" t="str">
        <f>HLOOKUP(E$1,google_form!$1:$216,$A69,FALSE)</f>
        <v>https://i.ibb.co/RTWv9Yp9/pnas-1900371116fig01.jpg</v>
      </c>
      <c r="F69" s="29" t="str">
        <f t="shared" ref="F69:G69" si="268">if(ISBLANK($C69), "", F$1)</f>
        <v>fa-solid fa-globe</v>
      </c>
      <c r="G69" s="29" t="str">
        <f t="shared" si="268"/>
        <v>Spatial domains</v>
      </c>
      <c r="H69" s="29" t="str">
        <f>HLOOKUP(H$1,google_form!$1:$196,$A69,FALSE)</f>
        <v>Open ocean, Surface</v>
      </c>
      <c r="I69" s="29" t="str">
        <f t="shared" ref="I69:J69" si="269">if(ISBLANK($C69), "", I$1)</f>
        <v>fa-solid fa-hourglass-start</v>
      </c>
      <c r="J69" s="29" t="str">
        <f t="shared" si="269"/>
        <v>Temporal resolution</v>
      </c>
      <c r="K69" s="29" t="str">
        <f>HLOOKUP(K$1,google_form!$1:$196,$A69,FALSE)</f>
        <v>yearly</v>
      </c>
      <c r="L69" s="29" t="str">
        <f t="shared" ref="L69:M69" si="270">if(ISBLANK($C69), "", L$1)</f>
        <v>fa-solid fa-ruler-horizontal</v>
      </c>
      <c r="M69" s="29" t="str">
        <f t="shared" si="270"/>
        <v>Spatial resolution</v>
      </c>
      <c r="N69" s="34" t="str">
        <f>HLOOKUP(N$1,google_form!$1:$196,$A69,FALSE)</f>
        <v/>
      </c>
      <c r="O69" s="29" t="str">
        <f t="shared" ref="O69:P69" si="271">if(ISBLANK($C69), "", O$1)</f>
        <v>fa-solid fa-calendar-days</v>
      </c>
      <c r="P69" s="29" t="str">
        <f t="shared" si="271"/>
        <v>Period</v>
      </c>
      <c r="Q69" s="29" t="str">
        <f>HLOOKUP(Q$1,google_form!$1:$196,$A69,FALSE)</f>
        <v>1959 - 2016</v>
      </c>
      <c r="R69" s="29" t="str">
        <f>HLOOKUP(R$1,google_form!$1:$196,$A69,FALSE)</f>
        <v>Climate variability drove weakened ocean CO2 uptake in the 1990s, and strengthened CO2 uptake in the 2000s</v>
      </c>
      <c r="S69" s="29" t="str">
        <f>HLOOKUP(S$1,google_form!$1:$196,$A69,FALSE)</f>
        <v>DeVries et al. (2019)</v>
      </c>
      <c r="T69" s="33" t="str">
        <f>HLOOKUP(T$1,google_form!$1:$196,$A69,FALSE)</f>
        <v>https://doi.org/10.1073/pnas.1900371116</v>
      </c>
      <c r="U69" s="33" t="str">
        <f>HLOOKUP(U$1,google_form!$1:$196,$A69,FALSE)</f>
        <v>https://doi.org/10.6084/m9.figshare.8091161.v1</v>
      </c>
      <c r="V69" s="29" t="str">
        <f t="shared" si="10"/>
        <v>Description</v>
      </c>
      <c r="W69" s="29" t="str">
        <f>HLOOKUP(W$1,google_form!$1:$196,$A69,FALSE)</f>
        <v>The DeVries et al. (2019) analysis examines decadal trends in global and regional air-sea CO2 fluxes from a variety of ocean biogeochemical models that contributed to the GCB (see No. 60). Three sets of model simulations were performed. Simulation A uses variable climate forcing (e.g., variable wind stress, heat and freshwater fluxes) and observed atmospheric CO2 forcing, Simulation B uses constant (repeated) climate forcing and observed atmospheric CO2, and simulation C uses both constant climate forcing and constant atmospheric CO2 concentrations. With these simulations, the authors partitioned decadal trends in ocean CO2 uptake into those driven by climate variability and those driven by atmospheric CO2. They found that climate variability drove a weakening trend of the ocean carbon sink during the 1990s, and a strengthening trend during the first decade of the 2000s. The magnitude of these trends agreed with those of an OCIM that was trained to replicate tracer data from the 1990s and 2000s (DeVries et al., 2017), indicating that the decadal trends may be driven by variability in ocean circulation. </v>
      </c>
      <c r="X69" s="29" t="str">
        <f t="shared" si="11"/>
        <v>Reference</v>
      </c>
      <c r="Y69" s="29" t="str">
        <f>HLOOKUP(Y$1,google_form!$1:$196,$A69,FALSE)</f>
        <v>DeVries, T., Le Quéré, C., Andrews, O., Berthet, S., Hauck, J., Ilyina, T., Landschützer, P., Lenton, A., Lima, I. D., Nowicki, M., Schwinger, J., and Séférian, R.: Decadal trends in the ocean carbon sink, Proceedings of the National Academy of Sciences, 116(24), 11646–11651,  https://doi.org/10.1073/pnas.1900371116, 2019. </v>
      </c>
    </row>
    <row r="70">
      <c r="A70" s="29">
        <v>69.0</v>
      </c>
      <c r="B70" s="29" t="str">
        <f>HLOOKUP(B$1,google_form!$1:$216,$A70,FALSE)</f>
        <v>Model-based</v>
      </c>
      <c r="C70" s="29" t="str">
        <f>HLOOKUP(C$1,google_form!$1:$216,$A70,FALSE)</f>
        <v>ECCO-Darwin</v>
      </c>
      <c r="D70" s="29" t="str">
        <f>HLOOKUP(D$1,google_form!$1:$216,$A70,FALSE)</f>
        <v>Carroll et al. (2020)</v>
      </c>
      <c r="E70" s="33" t="str">
        <f>HLOOKUP(E$1,google_form!$1:$216,$A70,FALSE)</f>
        <v>https://ecco-group.org/images/ecco_rotator01.jpg</v>
      </c>
      <c r="F70" s="29" t="str">
        <f t="shared" ref="F70:G70" si="272">if(ISBLANK($C70), "", F$1)</f>
        <v>fa-solid fa-globe</v>
      </c>
      <c r="G70" s="29" t="str">
        <f t="shared" si="272"/>
        <v>Spatial domains</v>
      </c>
      <c r="H70" s="29" t="str">
        <f>HLOOKUP(H$1,google_form!$1:$196,$A70,FALSE)</f>
        <v>Open ocean, Coastal ocean, Surface, Water column</v>
      </c>
      <c r="I70" s="29" t="str">
        <f t="shared" ref="I70:J70" si="273">if(ISBLANK($C70), "", I$1)</f>
        <v>fa-solid fa-hourglass-start</v>
      </c>
      <c r="J70" s="29" t="str">
        <f t="shared" si="273"/>
        <v>Temporal resolution</v>
      </c>
      <c r="K70" s="29" t="str">
        <f>HLOOKUP(K$1,google_form!$1:$196,$A70,FALSE)</f>
        <v>daily, monthly</v>
      </c>
      <c r="L70" s="29" t="str">
        <f t="shared" ref="L70:M70" si="274">if(ISBLANK($C70), "", L$1)</f>
        <v>fa-solid fa-ruler-horizontal</v>
      </c>
      <c r="M70" s="29" t="str">
        <f t="shared" si="274"/>
        <v>Spatial resolution</v>
      </c>
      <c r="N70" s="34" t="str">
        <f>HLOOKUP(N$1,google_form!$1:$196,$A70,FALSE)</f>
        <v>0.33° x 0.33°</v>
      </c>
      <c r="O70" s="29" t="str">
        <f t="shared" ref="O70:P70" si="275">if(ISBLANK($C70), "", O$1)</f>
        <v>fa-solid fa-calendar-days</v>
      </c>
      <c r="P70" s="29" t="str">
        <f t="shared" si="275"/>
        <v>Period</v>
      </c>
      <c r="Q70" s="29" t="str">
        <f>HLOOKUP(Q$1,google_form!$1:$196,$A70,FALSE)</f>
        <v>1992 - 2018</v>
      </c>
      <c r="R70" s="29" t="str">
        <f>HLOOKUP(R$1,google_form!$1:$196,$A70,FALSE)</f>
        <v>Model-data synthesis product based on the Estimating the Circulation and Climate of the Ocean (ECCO) ocean state estimate. Fully-closed, physically-consistent 3-D biogeochemical budgets.</v>
      </c>
      <c r="S70" s="29" t="str">
        <f>HLOOKUP(S$1,google_form!$1:$196,$A70,FALSE)</f>
        <v>Carroll et al. (2020)</v>
      </c>
      <c r="T70" s="33" t="str">
        <f>HLOOKUP(T$1,google_form!$1:$196,$A70,FALSE)</f>
        <v>https://doi.org/10.5281/zenodo.10627664</v>
      </c>
      <c r="U70" s="33" t="str">
        <f>HLOOKUP(U$1,google_form!$1:$196,$A70,FALSE)</f>
        <v>https://data.nas.nasa.gov/ecco/</v>
      </c>
      <c r="V70" s="29" t="str">
        <f t="shared" si="10"/>
        <v>Description</v>
      </c>
      <c r="W70" s="29" t="str">
        <f>HLOOKUP(W$1,google_form!$1:$196,$A70,FALSE)</f>
        <v>Carroll et al. (2022) used the Estimating the Circulation and Climate of the Ocean-Darwin (ECCO-Darwin) global-ocean biogeochemistry state estimate to generate a data-constrained DIC budget and investigate how spatiotemporal variability in advection and mixing, air-sea CO2 flux, and the biological pump have modulated the ocean sink for 1995–2018. ECCO-Darwin assimilates ocean circulation and physical tracers, including temperature, salinity, and sea ice, derived from the Estimating the Circulation and Climate of the Ocean (ECCO) LLC270 global-ocean and sea-ice data synthesis (Zhang et al., 2018). Additionally, it assimilates biogeochemical observations encompassing the cycling of carbon, nitrogen, phosphorus (PO 4 ), iron (Fe), silica (SiO 2 ), DO, and TA. This inclusive approach enhances the model’s fidelity by aligning it with a diverse array of observations. All ECCO-Darwin model output is available on the ECCO Data Portal: https://data.nas.nasa.gov/ecco/. The model code and platform-independent instructions for running ECCO-Darwin simulations can be found at: https://github.com/MITgcm-contrib/ecco_darwin.</v>
      </c>
      <c r="X70" s="29" t="str">
        <f t="shared" si="11"/>
        <v>Reference</v>
      </c>
      <c r="Y70" s="29" t="str">
        <f>HLOOKUP(Y$1,google_form!$1:$196,$A70,FALSE)</f>
        <v>Carroll, D., Menemenlis, D., Adkins, J. F., Bowman, K. W., Brix, H., &amp; Dutkiewicz, S., et al. (2020). The ECCO-Darwin data-assimilative global ocean biogeochemistry model: Estimates of seasonal to multidecadal surface ocean pCO2 and air-sea CO2 flux. Journal of Advances in Modeling Earth Systems, 12, e2019MS001888. https://doi.org/10.1029/2019MS001888</v>
      </c>
    </row>
    <row r="71">
      <c r="A71" s="29">
        <v>70.0</v>
      </c>
      <c r="B71" s="29" t="str">
        <f>HLOOKUP(B$1,google_form!$1:$216,$A71,FALSE)</f>
        <v>Model-based</v>
      </c>
      <c r="C71" s="29" t="str">
        <f>HLOOKUP(C$1,google_form!$1:$216,$A71,FALSE)</f>
        <v>Surface pH and Revelle Factor</v>
      </c>
      <c r="D71" s="29" t="str">
        <f>HLOOKUP(D$1,google_form!$1:$216,$A71,FALSE)</f>
        <v>Jiang et al. (2019)</v>
      </c>
      <c r="E71" s="33" t="str">
        <f>HLOOKUP(E$1,google_form!$1:$216,$A71,FALSE)</f>
        <v>https://media.springernature.com/lw685/springer-static/image/art%3A10.1038%2Fs41598-019-55039-4/MediaObjects/41598_2019_55039_Fig6_HTML.png</v>
      </c>
      <c r="F71" s="29" t="str">
        <f t="shared" ref="F71:G71" si="276">if(ISBLANK($C71), "", F$1)</f>
        <v>fa-solid fa-globe</v>
      </c>
      <c r="G71" s="29" t="str">
        <f t="shared" si="276"/>
        <v>Spatial domains</v>
      </c>
      <c r="H71" s="29" t="str">
        <f>HLOOKUP(H$1,google_form!$1:$196,$A71,FALSE)</f>
        <v>Open ocean, Surface</v>
      </c>
      <c r="I71" s="29" t="str">
        <f t="shared" ref="I71:J71" si="277">if(ISBLANK($C71), "", I$1)</f>
        <v>fa-solid fa-hourglass-start</v>
      </c>
      <c r="J71" s="29" t="str">
        <f t="shared" si="277"/>
        <v>Temporal resolution</v>
      </c>
      <c r="K71" s="29" t="str">
        <f>HLOOKUP(K$1,google_form!$1:$196,$A71,FALSE)</f>
        <v>decadal, climatology</v>
      </c>
      <c r="L71" s="29" t="str">
        <f t="shared" ref="L71:M71" si="278">if(ISBLANK($C71), "", L$1)</f>
        <v>fa-solid fa-ruler-horizontal</v>
      </c>
      <c r="M71" s="29" t="str">
        <f t="shared" si="278"/>
        <v>Spatial resolution</v>
      </c>
      <c r="N71" s="34" t="str">
        <f>HLOOKUP(N$1,google_form!$1:$196,$A71,FALSE)</f>
        <v>1° x 1°</v>
      </c>
      <c r="O71" s="29" t="str">
        <f t="shared" ref="O71:P71" si="279">if(ISBLANK($C71), "", O$1)</f>
        <v>fa-solid fa-calendar-days</v>
      </c>
      <c r="P71" s="29" t="str">
        <f t="shared" si="279"/>
        <v>Period</v>
      </c>
      <c r="Q71" s="29" t="str">
        <f>HLOOKUP(Q$1,google_form!$1:$196,$A71,FALSE)</f>
        <v>1770 - 2100</v>
      </c>
      <c r="R71" s="29" t="str">
        <f>HLOOKUP(R$1,google_form!$1:$196,$A71,FALSE)</f>
        <v>A model-observation fusion product for pH, acidity and Revelle Factor, leveraging GFDL-ESM2M and SOCATv6</v>
      </c>
      <c r="S71" s="29" t="str">
        <f>HLOOKUP(S$1,google_form!$1:$196,$A71,FALSE)</f>
        <v>Jiang et al. (2019)</v>
      </c>
      <c r="T71" s="33" t="str">
        <f>HLOOKUP(T$1,google_form!$1:$196,$A71,FALSE)</f>
        <v>https://doi.org/10.1038/s41598-019-55039-4</v>
      </c>
      <c r="U71" s="33" t="str">
        <f>HLOOKUP(U$1,google_form!$1:$196,$A71,FALSE)</f>
        <v>https://www.ncei.noaa.gov/data/oceans/ncei/ocads/metadata/0206289.html </v>
      </c>
      <c r="V71" s="29" t="str">
        <f t="shared" si="10"/>
        <v>Description</v>
      </c>
      <c r="W71" s="29" t="str">
        <f>HLOOKUP(W$1,google_form!$1:$196,$A71,FALSE)</f>
        <v>Jiang et al. (2019a) produced a high-resolution (1°×1°) data product delineating regionally varying view of global surface ocean pH, acidity, and Revelle Factor (RF) from 1770 to 2100 by amalgamating recent observational seawater CO2 data from the SOCAT database (Version 6, 1991–2018, ~23 million observations) (Bakker et al., 2016), and temporal trends at individual locations of the global surface ocean from an Earth System Model, i.e., GFDL-ESM2M (Dunne et al., 2013). The calculations were conducted under historical atmospheric CO2 levels (pre-2005) and four Representative Concentrations Pathways (post-2005) corresponding to the Intergovernmental Panel on Climate Change (IPCC)’s 5th Assessment Report, specifically RCP2.6, RCP4.5, RCP6.0, and RCP8.5. </v>
      </c>
      <c r="X71" s="29" t="str">
        <f t="shared" si="11"/>
        <v>Reference</v>
      </c>
      <c r="Y71" s="29" t="str">
        <f>HLOOKUP(Y$1,google_form!$1:$196,$A71,FALSE)</f>
        <v>Jiang, L.-Q., Carter, B. R., Feely, R. A., Lauvset, S., and Olsen, A.: Surface ocean pH and buffer capacity: Past, present and future, Scientific Reports, 9(1), 18624, https://doi.org/10.1038/s41598-019-55039-4, 2019. </v>
      </c>
    </row>
    <row r="72">
      <c r="A72" s="29">
        <v>71.0</v>
      </c>
      <c r="B72" s="29" t="str">
        <f>HLOOKUP(B$1,google_form!$1:$216,$A72,FALSE)</f>
        <v>Model-based</v>
      </c>
      <c r="C72" s="29" t="str">
        <f>HLOOKUP(C$1,google_form!$1:$216,$A72,FALSE)</f>
        <v>Surface OA Indicators </v>
      </c>
      <c r="D72" s="29" t="str">
        <f>HLOOKUP(D$1,google_form!$1:$216,$A72,FALSE)</f>
        <v>Jiang et al. (2023)</v>
      </c>
      <c r="E72" s="33" t="str">
        <f>HLOOKUP(E$1,google_form!$1:$216,$A72,FALSE)</f>
        <v>https://i.ibb.co/27sB2HLw/jame21817-fig-0008-m.jpg</v>
      </c>
      <c r="F72" s="29" t="str">
        <f t="shared" ref="F72:G72" si="280">if(ISBLANK($C72), "", F$1)</f>
        <v>fa-solid fa-globe</v>
      </c>
      <c r="G72" s="29" t="str">
        <f t="shared" si="280"/>
        <v>Spatial domains</v>
      </c>
      <c r="H72" s="29" t="str">
        <f>HLOOKUP(H$1,google_form!$1:$196,$A72,FALSE)</f>
        <v>Open ocean, Surface</v>
      </c>
      <c r="I72" s="29" t="str">
        <f t="shared" ref="I72:J72" si="281">if(ISBLANK($C72), "", I$1)</f>
        <v>fa-solid fa-hourglass-start</v>
      </c>
      <c r="J72" s="29" t="str">
        <f t="shared" si="281"/>
        <v>Temporal resolution</v>
      </c>
      <c r="K72" s="29" t="str">
        <f>HLOOKUP(K$1,google_form!$1:$196,$A72,FALSE)</f>
        <v>decadal, climatology</v>
      </c>
      <c r="L72" s="29" t="str">
        <f t="shared" ref="L72:M72" si="282">if(ISBLANK($C72), "", L$1)</f>
        <v>fa-solid fa-ruler-horizontal</v>
      </c>
      <c r="M72" s="29" t="str">
        <f t="shared" si="282"/>
        <v>Spatial resolution</v>
      </c>
      <c r="N72" s="34" t="str">
        <f>HLOOKUP(N$1,google_form!$1:$196,$A72,FALSE)</f>
        <v>1° x 1°</v>
      </c>
      <c r="O72" s="29" t="str">
        <f t="shared" ref="O72:P72" si="283">if(ISBLANK($C72), "", O$1)</f>
        <v>fa-solid fa-calendar-days</v>
      </c>
      <c r="P72" s="29" t="str">
        <f t="shared" si="283"/>
        <v>Period</v>
      </c>
      <c r="Q72" s="29" t="str">
        <f>HLOOKUP(Q$1,google_form!$1:$196,$A72,FALSE)</f>
        <v>1750 - 2100</v>
      </c>
      <c r="R72" s="29" t="str">
        <f>HLOOKUP(R$1,google_form!$1:$196,$A72,FALSE)</f>
        <v>A model-observation fusion product for all major OA indicators, leveraging a consortium of 14 Earth System Models and 3 observational data products</v>
      </c>
      <c r="S72" s="29" t="str">
        <f>HLOOKUP(S$1,google_form!$1:$196,$A72,FALSE)</f>
        <v>Jiang et al. (2023)</v>
      </c>
      <c r="T72" s="33" t="str">
        <f>HLOOKUP(T$1,google_form!$1:$196,$A72,FALSE)</f>
        <v>https://doi.org/10.1029/2022MS003563</v>
      </c>
      <c r="U72" s="33" t="str">
        <f>HLOOKUP(U$1,google_form!$1:$196,$A72,FALSE)</f>
        <v>https://www.ncei.noaa.gov/data/oceans/ncei/ocads/metadata/0259391.html</v>
      </c>
      <c r="V72" s="29" t="str">
        <f t="shared" si="10"/>
        <v>Description</v>
      </c>
      <c r="W72" s="29" t="str">
        <f>HLOOKUP(W$1,google_form!$1:$196,$A72,FALSE)</f>
        <v>Jiang et al. (2023) developed a comprehensive model-data fusion product that delineates the trajectory of 10 OA indicators: fCO2, pH, [H+]total, [H+]free [CO32-], Ωarag, Ωcalc, DIC, TA, and RF, as well as temperature and salinity at all locations of the global surface ocean from 1750 to 2100. This product marks a significant breakthrough in OA forecasting by refining temporal trends with data from 14 Earth System Models (ESMs) within CMIP6, and by applying bias and drift corrections from three updated observational ocean carbonate system data products: SOCAT (Version 2022) (Bakker et al., 2016), GLODAPv2.2022 (Lauvset et al., 2022), and CODAP-NA (Jiang et al., 2021). This dataset offers 10-year averages on a 1° × 1° global surface ocean grid, capturing trends from preindustrial times (1750), through historical conditions (1850–2010), and projects future conditions to 2100 across five Shared Socioeconomic Pathways: SSP1-1.9, SSP1-2.6, SSP2-4.5, SSP3-7.0, and SSP5-8.5. </v>
      </c>
      <c r="X72" s="29" t="str">
        <f t="shared" si="11"/>
        <v>Reference</v>
      </c>
      <c r="Y72" s="29" t="str">
        <f>HLOOKUP(Y$1,google_form!$1:$196,$A72,FALSE)</f>
        <v>Jiang, L., Dunne, J., Carter, B. R., Tjiputra, J. F., Terhaar, J., Sharp, J. D., Olsen, A., Alin, S., Bakker, D. C., Feely, R. A., Gattuso, J., Hogan, P., Ilyina, T., Lange, N., Lauvset, S. K., Lewis, E. R., Lovato, T., Palmieri, J., Santana‐Falcón, Y., Schwinger, J., Séférian, R., Strand, G., Swart, N., Tanhua, T., Tsujino, H., Wanninkhof, R., Watanabe, M., Yamamoto, A., and Ziehn, T.: Global surface ocean acidification indicators from 1750 to 2100, Journal of Advances in Modeling Earth Systems, 15(3), https://doi.org/10.1029/2022ms003563, 2023.</v>
      </c>
    </row>
    <row r="73">
      <c r="A73" s="29">
        <v>72.0</v>
      </c>
      <c r="B73" s="29" t="str">
        <f>HLOOKUP(B$1,google_form!$1:$216,$A73,FALSE)</f>
        <v>Model-based</v>
      </c>
      <c r="C73" s="29" t="str">
        <f>HLOOKUP(C$1,google_form!$1:$216,$A73,FALSE)</f>
        <v>Simulated and Constrained Southern Ocean Carbon Sink</v>
      </c>
      <c r="D73" s="29" t="str">
        <f>HLOOKUP(D$1,google_form!$1:$216,$A73,FALSE)</f>
        <v>Terhaar et al. (2021)</v>
      </c>
      <c r="E73" s="33" t="str">
        <f>HLOOKUP(E$1,google_form!$1:$216,$A73,FALSE)</f>
        <v>https://www.seanoe.org/data/00927/103934/illustration.gif</v>
      </c>
      <c r="F73" s="29" t="str">
        <f t="shared" ref="F73:G73" si="284">if(ISBLANK($C73), "", F$1)</f>
        <v>fa-solid fa-globe</v>
      </c>
      <c r="G73" s="29" t="str">
        <f t="shared" si="284"/>
        <v>Spatial domains</v>
      </c>
      <c r="H73" s="29" t="str">
        <f>HLOOKUP(H$1,google_form!$1:$196,$A73,FALSE)</f>
        <v>Open ocean, Regional</v>
      </c>
      <c r="I73" s="29" t="str">
        <f t="shared" ref="I73:J73" si="285">if(ISBLANK($C73), "", I$1)</f>
        <v>fa-solid fa-hourglass-start</v>
      </c>
      <c r="J73" s="29" t="str">
        <f t="shared" si="285"/>
        <v>Temporal resolution</v>
      </c>
      <c r="K73" s="29" t="str">
        <f>HLOOKUP(K$1,google_form!$1:$196,$A73,FALSE)</f>
        <v>yearly</v>
      </c>
      <c r="L73" s="29" t="str">
        <f t="shared" ref="L73:M73" si="286">if(ISBLANK($C73), "", L$1)</f>
        <v>fa-solid fa-ruler-horizontal</v>
      </c>
      <c r="M73" s="29" t="str">
        <f t="shared" si="286"/>
        <v>Spatial resolution</v>
      </c>
      <c r="N73" s="34" t="str">
        <f>HLOOKUP(N$1,google_form!$1:$196,$A73,FALSE)</f>
        <v/>
      </c>
      <c r="O73" s="29" t="str">
        <f t="shared" ref="O73:P73" si="287">if(ISBLANK($C73), "", O$1)</f>
        <v>fa-solid fa-calendar-days</v>
      </c>
      <c r="P73" s="29" t="str">
        <f t="shared" si="287"/>
        <v>Period</v>
      </c>
      <c r="Q73" s="29" t="str">
        <f>HLOOKUP(Q$1,google_form!$1:$196,$A73,FALSE)</f>
        <v>1850-2100</v>
      </c>
      <c r="R73" s="29" t="str">
        <f>HLOOKUP(R$1,google_form!$1:$196,$A73,FALSE)</f>
        <v>A constrained estimate of the ocean carbon sink based on the simulated carbon sink from CMIP5 and CMIP6 models and constrained with observations of the ocean physics and carbonate chemistry</v>
      </c>
      <c r="S73" s="29" t="str">
        <f>HLOOKUP(S$1,google_form!$1:$196,$A73,FALSE)</f>
        <v>Terhaar et al. (2021)</v>
      </c>
      <c r="T73" s="33" t="str">
        <f>HLOOKUP(T$1,google_form!$1:$196,$A73,FALSE)</f>
        <v>https://doi.org/10.1126/sciadv.abd5964</v>
      </c>
      <c r="U73" s="33" t="str">
        <f>HLOOKUP(U$1,google_form!$1:$196,$A73,FALSE)</f>
        <v>https://www.seanoe.org/data/00927/103938/</v>
      </c>
      <c r="V73" s="29" t="str">
        <f t="shared" si="10"/>
        <v>Description</v>
      </c>
      <c r="W73" s="29" t="str">
        <f>HLOOKUP(W$1,google_form!$1:$196,$A73,FALSE)</f>
        <v>These two datasets include spatially-integrated and annually averaged values for the ocean carbon sink from 1850 to 2100 for different scenarios over the 21st century for the global ocean (Terhaar et al., 2022a, 2022b) and the Southern Ocean (Terhaar et al., 2021b, 2021c). All results are based on CMIP5 and CMIP6 models. For the global ocean carbon sink, values are available for SSP1-2.6, SSP2-4.5, and SSP5-8.5. For the Southern Ocean, values are also available for SSP1-2.6, SSP2-4.5, and SSP5-8.5 and additionally also for RCP2.6, RCP4.5, and RCP8.5. In addition, to the raw simulated values, constrained estimates of the annually averaged ocean carbon sink estimates are available. These constrained estimates adjusted the simulated carbon sink estimates for biases on the ocean’s circulation and surface carbonate chemistry (see Terhaar et al., 2021b, 2022a for details). It is recommended to use the constrained estimates. The datasets are available at https://doi.org/10.17882/103934 and https://doi.org/10.17882/103938.</v>
      </c>
      <c r="X73" s="29" t="str">
        <f t="shared" si="11"/>
        <v>Reference</v>
      </c>
      <c r="Y73" s="29" t="str">
        <f>HLOOKUP(Y$1,google_form!$1:$196,$A73,FALSE)</f>
        <v>Terhaar, Jens, Frölicher, T. L., &amp; Joos, F.: Southern Ocean anthropogenic carbon sink constrained by sea surface salinity, Science Advances, 7(18), https://doi.org/10.1126/sciadv.abd5964, 2021.</v>
      </c>
    </row>
    <row r="74">
      <c r="A74" s="29">
        <v>73.0</v>
      </c>
      <c r="B74" s="29" t="str">
        <f>HLOOKUP(B$1,google_form!$1:$216,$A74,FALSE)</f>
        <v>Model-based</v>
      </c>
      <c r="C74" s="29" t="str">
        <f>HLOOKUP(C$1,google_form!$1:$216,$A74,FALSE)</f>
        <v>Simulated and Constrained Global Ocean Carbon Sink</v>
      </c>
      <c r="D74" s="29" t="str">
        <f>HLOOKUP(D$1,google_form!$1:$216,$A74,FALSE)</f>
        <v>Terhaar et al., (2022)</v>
      </c>
      <c r="E74" s="33" t="str">
        <f>HLOOKUP(E$1,google_form!$1:$216,$A74,FALSE)</f>
        <v>https://www.seanoe.org/data/00927/103934/illustration.gif</v>
      </c>
      <c r="F74" s="29" t="str">
        <f t="shared" ref="F74:G74" si="288">if(ISBLANK($C74), "", F$1)</f>
        <v>fa-solid fa-globe</v>
      </c>
      <c r="G74" s="29" t="str">
        <f t="shared" si="288"/>
        <v>Spatial domains</v>
      </c>
      <c r="H74" s="29" t="str">
        <f>HLOOKUP(H$1,google_form!$1:$196,$A74,FALSE)</f>
        <v>Open ocean</v>
      </c>
      <c r="I74" s="29" t="str">
        <f t="shared" ref="I74:J74" si="289">if(ISBLANK($C74), "", I$1)</f>
        <v>fa-solid fa-hourglass-start</v>
      </c>
      <c r="J74" s="29" t="str">
        <f t="shared" si="289"/>
        <v>Temporal resolution</v>
      </c>
      <c r="K74" s="29" t="str">
        <f>HLOOKUP(K$1,google_form!$1:$196,$A74,FALSE)</f>
        <v>yearly</v>
      </c>
      <c r="L74" s="29" t="str">
        <f t="shared" ref="L74:M74" si="290">if(ISBLANK($C74), "", L$1)</f>
        <v>fa-solid fa-ruler-horizontal</v>
      </c>
      <c r="M74" s="29" t="str">
        <f t="shared" si="290"/>
        <v>Spatial resolution</v>
      </c>
      <c r="N74" s="34" t="str">
        <f>HLOOKUP(N$1,google_form!$1:$196,$A74,FALSE)</f>
        <v/>
      </c>
      <c r="O74" s="29" t="str">
        <f t="shared" ref="O74:P74" si="291">if(ISBLANK($C74), "", O$1)</f>
        <v>fa-solid fa-calendar-days</v>
      </c>
      <c r="P74" s="29" t="str">
        <f t="shared" si="291"/>
        <v>Period</v>
      </c>
      <c r="Q74" s="29" t="str">
        <f>HLOOKUP(Q$1,google_form!$1:$196,$A74,FALSE)</f>
        <v>1850-2100</v>
      </c>
      <c r="R74" s="29" t="str">
        <f>HLOOKUP(R$1,google_form!$1:$196,$A74,FALSE)</f>
        <v>A constrained estimate of the ocean carbon sink based on the simulated carbon sink from CMIP5 and CMIP6 models and constrained with observations of the ocean physics and carbonate chemistry</v>
      </c>
      <c r="S74" s="29" t="str">
        <f>HLOOKUP(S$1,google_form!$1:$196,$A74,FALSE)</f>
        <v>Terhaar et al., (2022)</v>
      </c>
      <c r="T74" s="33" t="str">
        <f>HLOOKUP(T$1,google_form!$1:$196,$A74,FALSE)</f>
        <v>https://doi.org/10.5194/bg-19-4431-2022</v>
      </c>
      <c r="U74" s="33" t="str">
        <f>HLOOKUP(U$1,google_form!$1:$196,$A74,FALSE)</f>
        <v>https://www.seanoe.org/data/00927/103934</v>
      </c>
      <c r="V74" s="29" t="str">
        <f t="shared" si="10"/>
        <v>Description</v>
      </c>
      <c r="W74" s="29" t="str">
        <f>HLOOKUP(W$1,google_form!$1:$196,$A74,FALSE)</f>
        <v>These two datasets include spatially-integrated and annually averaged values for the ocean carbon sink from 1850 to 2100 for different scenarios over the 21st century for the global ocean (Terhaar et al., 2022a, 2022b) and the Southern Ocean (Terhaar et al., 2021b, 2021c). All results are based on CMIP5 and CMIP6 models. For the global ocean carbon sink, values are available for SSP1-2.6, SSP2-4.5, and SSP5-8.5. For the Southern Ocean, values are also available for SSP1-2.6, SSP2-4.5, and SSP5-8.5 and additionally also for RCP2.6, RCP4.5, and RCP8.5. In addition, to the raw simulated values, constrained estimates of the annually averaged ocean carbon sink estimates are available. These constrained estimates adjusted the simulated carbon sink estimates for biases on the ocean’s circulation and surface carbonate chemistry (see Terhaar et al., 2021b, 2022a for details). It is recommended to use the constrained estimates. The datasets are available at https://doi.org/10.17882/103934 and https://doi.org/10.17882/103938.</v>
      </c>
      <c r="X74" s="29" t="str">
        <f t="shared" si="11"/>
        <v>Reference</v>
      </c>
      <c r="Y74" s="29" t="str">
        <f>HLOOKUP(Y$1,google_form!$1:$196,$A74,FALSE)</f>
        <v>Terhaar, J., Frölicher, T. L., and Joos, F.: Observation-constrained estimates of the Global Ocean Carbon Sink from earth system models, Biogeosciences, 19(18), 4431–4457, https://doi.org/10.5194/bg-19-4431-2022, 2022.</v>
      </c>
    </row>
    <row r="75">
      <c r="A75" s="29">
        <v>74.0</v>
      </c>
      <c r="B75" s="29" t="str">
        <f>HLOOKUP(B$1,google_form!$1:$216,$A75,FALSE)</f>
        <v>Model-based</v>
      </c>
      <c r="C75" s="29" t="str">
        <f>HLOOKUP(C$1,google_form!$1:$216,$A75,FALSE)</f>
        <v>Composite model-based estimate of the ocean carbon sink from 1959 to 2022</v>
      </c>
      <c r="D75" s="29" t="str">
        <f>HLOOKUP(D$1,google_form!$1:$216,$A75,FALSE)</f>
        <v>Terhaar (2025)</v>
      </c>
      <c r="E75" s="33" t="str">
        <f>HLOOKUP(E$1,google_form!$1:$216,$A75,FALSE)</f>
        <v>https://upload.wikimedia.org/wikipedia/commons/thumb/9/9c/Ocean_water.jpg/960px-Ocean_water.jpg</v>
      </c>
      <c r="F75" s="29" t="str">
        <f t="shared" ref="F75:G75" si="292">if(ISBLANK($C75), "", F$1)</f>
        <v>fa-solid fa-globe</v>
      </c>
      <c r="G75" s="29" t="str">
        <f t="shared" si="292"/>
        <v>Spatial domains</v>
      </c>
      <c r="H75" s="29" t="str">
        <f>HLOOKUP(H$1,google_form!$1:$196,$A75,FALSE)</f>
        <v>Open ocean</v>
      </c>
      <c r="I75" s="29" t="str">
        <f t="shared" ref="I75:J75" si="293">if(ISBLANK($C75), "", I$1)</f>
        <v>fa-solid fa-hourglass-start</v>
      </c>
      <c r="J75" s="29" t="str">
        <f t="shared" si="293"/>
        <v>Temporal resolution</v>
      </c>
      <c r="K75" s="29" t="str">
        <f>HLOOKUP(K$1,google_form!$1:$196,$A75,FALSE)</f>
        <v>yearly</v>
      </c>
      <c r="L75" s="29" t="str">
        <f t="shared" ref="L75:M75" si="294">if(ISBLANK($C75), "", L$1)</f>
        <v>fa-solid fa-ruler-horizontal</v>
      </c>
      <c r="M75" s="29" t="str">
        <f t="shared" si="294"/>
        <v>Spatial resolution</v>
      </c>
      <c r="N75" s="34" t="str">
        <f>HLOOKUP(N$1,google_form!$1:$196,$A75,FALSE)</f>
        <v/>
      </c>
      <c r="O75" s="29" t="str">
        <f t="shared" ref="O75:P75" si="295">if(ISBLANK($C75), "", O$1)</f>
        <v>fa-solid fa-calendar-days</v>
      </c>
      <c r="P75" s="29" t="str">
        <f t="shared" si="295"/>
        <v>Period</v>
      </c>
      <c r="Q75" s="29" t="str">
        <f>HLOOKUP(Q$1,google_form!$1:$196,$A75,FALSE)</f>
        <v>1959-2022</v>
      </c>
      <c r="R75" s="29" t="str">
        <f>HLOOKUP(R$1,google_form!$1:$196,$A75,FALSE)</f>
        <v>A model-based estimate of the ocean carbon sink combining the respective strengths of hindcast simulations and simulations by coupled earth system models</v>
      </c>
      <c r="S75" s="29" t="str">
        <f>HLOOKUP(S$1,google_form!$1:$196,$A75,FALSE)</f>
        <v>Terhaar (2025)</v>
      </c>
      <c r="T75" s="33" t="str">
        <f>HLOOKUP(T$1,google_form!$1:$196,$A75,FALSE)</f>
        <v>https://doi.org/10.5194/bg-22-1631-2025</v>
      </c>
      <c r="U75" s="33" t="str">
        <f>HLOOKUP(U$1,google_form!$1:$196,$A75,FALSE)</f>
        <v>https://doi.org/10.5194/bg-22-1631-2025</v>
      </c>
      <c r="V75" s="29" t="str">
        <f t="shared" si="10"/>
        <v>Description</v>
      </c>
      <c r="W75" s="29" t="str">
        <f>HLOOKUP(W$1,google_form!$1:$196,$A75,FALSE)</f>
        <v>This data product, developed by Terhaar (2025), presents an estimate of the global ocean carbon sink by combining forced hindcast simulations and simulations made by coupled earth system models. Hindcast models manage to adequately simulate the short-term variability of the ocean, but struggle to simulate the long-term climate change trend (Huguenin et al., 2022; Takano et al., 2023; Hollitzer et al., 2024). Earth system models cannot simulate the observed short-term variability by definition, but accurately simulate long-term trends (Takano et al., 2023; Hollitzer et al., 2024). The composite model-based estimate combines the simulated short-term variability from hindcast simulations and the long-term trend from earth system models. The output is supplied with the associated study (https://bg.copernicus.org/articles/22/1631/2025/) (Terhaar, 2025).</v>
      </c>
      <c r="X75" s="29" t="str">
        <f t="shared" si="11"/>
        <v>Reference</v>
      </c>
      <c r="Y75" s="29" t="str">
        <f>HLOOKUP(Y$1,google_form!$1:$196,$A75,FALSE)</f>
        <v>Terhaar, J.: Composite model-based estimate of the ocean carbon sink from 1959 to 2022, Biogeosciences, 22, 1631–1649, https://doi.org/10.5194/bg-22-1631-2025, 2025.</v>
      </c>
    </row>
    <row r="76">
      <c r="A76" s="29">
        <v>75.0</v>
      </c>
      <c r="B76" s="29" t="str">
        <f>HLOOKUP(B$1,google_form!$1:$216,$A76,FALSE)</f>
        <v>Model-based</v>
      </c>
      <c r="C76" s="29" t="str">
        <f>HLOOKUP(C$1,google_form!$1:$216,$A76,FALSE)</f>
        <v>pCIBR_Clim and pCIBR_Int</v>
      </c>
      <c r="D76" s="29" t="str">
        <f>HLOOKUP(D$1,google_form!$1:$216,$A76,FALSE)</f>
        <v>Ghoshal et al. (2025)</v>
      </c>
      <c r="E76" s="33" t="str">
        <f>HLOOKUP(E$1,google_form!$1:$216,$A76,FALSE)</f>
        <v>https://i.ibb.co/8DtF8Zz4/p-CIBR-p-CO2-DECADAL.png</v>
      </c>
      <c r="F76" s="29" t="str">
        <f t="shared" ref="F76:G76" si="296">if(ISBLANK($C76), "", F$1)</f>
        <v>fa-solid fa-globe</v>
      </c>
      <c r="G76" s="29" t="str">
        <f t="shared" si="296"/>
        <v>Spatial domains</v>
      </c>
      <c r="H76" s="29" t="str">
        <f>HLOOKUP(H$1,google_form!$1:$196,$A76,FALSE)</f>
        <v>Regional</v>
      </c>
      <c r="I76" s="29" t="str">
        <f t="shared" ref="I76:J76" si="297">if(ISBLANK($C76), "", I$1)</f>
        <v>fa-solid fa-hourglass-start</v>
      </c>
      <c r="J76" s="29" t="str">
        <f t="shared" si="297"/>
        <v>Temporal resolution</v>
      </c>
      <c r="K76" s="29" t="str">
        <f>HLOOKUP(K$1,google_form!$1:$196,$A76,FALSE)</f>
        <v>monthly</v>
      </c>
      <c r="L76" s="29" t="str">
        <f t="shared" ref="L76:M76" si="298">if(ISBLANK($C76), "", L$1)</f>
        <v>fa-solid fa-ruler-horizontal</v>
      </c>
      <c r="M76" s="29" t="str">
        <f t="shared" si="298"/>
        <v>Spatial resolution</v>
      </c>
      <c r="N76" s="34" t="str">
        <f>HLOOKUP(N$1,google_form!$1:$196,$A76,FALSE)</f>
        <v>0.083° x 0.083°</v>
      </c>
      <c r="O76" s="29" t="str">
        <f t="shared" ref="O76:P76" si="299">if(ISBLANK($C76), "", O$1)</f>
        <v>fa-solid fa-calendar-days</v>
      </c>
      <c r="P76" s="29" t="str">
        <f t="shared" si="299"/>
        <v>Period</v>
      </c>
      <c r="Q76" s="29" t="str">
        <f>HLOOKUP(Q$1,google_form!$1:$196,$A76,FALSE)</f>
        <v>1980-2019</v>
      </c>
      <c r="R76" s="29" t="str">
        <f>HLOOKUP(R$1,google_form!$1:$196,$A76,FALSE)</f>
        <v>This product uses a hybrid approach, applying machine learning to correct 1/12° ocean–ecosystem model outputs with SOCAT (1984–2019) and SAS (1991–2019) observations for the Indian Ocean.</v>
      </c>
      <c r="S76" s="29" t="str">
        <f>HLOOKUP(S$1,google_form!$1:$196,$A76,FALSE)</f>
        <v>Ghoshal et al. (2025)</v>
      </c>
      <c r="T76" s="33" t="str">
        <f>HLOOKUP(T$1,google_form!$1:$196,$A76,FALSE)</f>
        <v>https://doi.org/10.1038/s41597-025-04914-z</v>
      </c>
      <c r="U76" s="33" t="str">
        <f>HLOOKUP(U$1,google_form!$1:$196,$A76,FALSE)</f>
        <v>https://www.ncei.noaa.gov/data/oceans/ncei/ocads/metadata/0307788.html</v>
      </c>
      <c r="V76" s="29" t="str">
        <f t="shared" si="10"/>
        <v>Description</v>
      </c>
      <c r="W76" s="29" t="str">
        <f>HLOOKUP(W$1,google_form!$1:$196,$A76,FALSE)</f>
        <v>A machine learning (ML) model is employed to correct biases in surface pCO2 simulations generated by the INCOIS-BIO-ROMS model (pCO2model) over the period 1980–2019. The ML model is trained using the differences between observed (pCO2obs) and modeled pCO2 to estimate the spatio-temporal deviations (pCO2obs − pCO2model). These interannually and climatologically varying deviations are then added back to the original model output, resulting in two improved data products: pCIBR_Int and pCIBR_Clim (Ghoshal et al., 2025). Evaluation against independent datasets, including moored observations (BOBOA), the gridded SOCAT product, and other ML-based pCO2 products (such as CMEMS-LSCEv2 and OceanSODA), demonstrates a significant improvement of approximately 40% ± 3.31% in RMSE compared to the original model. This high-resolution (0.083° × 0.083°), long-term monthly pCO2 data product is available from the INCOIS Portal (https://las.incois.gov.in) and from OCADS: https://www.ncei.noaa.gov/data/oceans/ncei/ocads/metadata/0307788.html (Ghoshal et al., 2025).</v>
      </c>
      <c r="X76" s="29" t="str">
        <f t="shared" si="11"/>
        <v>Reference</v>
      </c>
      <c r="Y76" s="29" t="str">
        <f>HLOOKUP(Y$1,google_form!$1:$196,$A76,FALSE)</f>
        <v>Ghoshal, P.K., Joshi, A. &amp; Chakraborty, K. An improved long-term high-resolution surface pCO2 data product for the Indian Ocean using machine learning. Sci Data 12, 577 (2025). https://doi.org/10.1038/s41597-025-04914-z</v>
      </c>
    </row>
    <row r="77">
      <c r="A77" s="29">
        <v>76.0</v>
      </c>
      <c r="B77" s="29" t="str">
        <f>HLOOKUP(B$1,google_form!$1:$216,$A77,FALSE)</f>
        <v>Model-based</v>
      </c>
      <c r="C77" s="29" t="str">
        <f>HLOOKUP(C$1,google_form!$1:$216,$A77,FALSE)</f>
        <v>INCOIS‐BIO‐ROMS Surface pCO2 and pH</v>
      </c>
      <c r="D77" s="29" t="str">
        <f>HLOOKUP(D$1,google_form!$1:$216,$A77,FALSE)</f>
        <v>Chakraborty et al. (2024)</v>
      </c>
      <c r="E77" s="33" t="str">
        <f>HLOOKUP(E$1,google_form!$1:$216,$A77,FALSE)</f>
        <v>https://i.ibb.co/wFc3f1bY/p-H-DECADAL.png</v>
      </c>
      <c r="F77" s="29" t="str">
        <f t="shared" ref="F77:G77" si="300">if(ISBLANK($C77), "", F$1)</f>
        <v>fa-solid fa-globe</v>
      </c>
      <c r="G77" s="29" t="str">
        <f t="shared" si="300"/>
        <v>Spatial domains</v>
      </c>
      <c r="H77" s="29" t="str">
        <f>HLOOKUP(H$1,google_form!$1:$196,$A77,FALSE)</f>
        <v>Regional</v>
      </c>
      <c r="I77" s="29" t="str">
        <f t="shared" ref="I77:J77" si="301">if(ISBLANK($C77), "", I$1)</f>
        <v>fa-solid fa-hourglass-start</v>
      </c>
      <c r="J77" s="29" t="str">
        <f t="shared" si="301"/>
        <v>Temporal resolution</v>
      </c>
      <c r="K77" s="29" t="str">
        <f>HLOOKUP(K$1,google_form!$1:$196,$A77,FALSE)</f>
        <v>monthly</v>
      </c>
      <c r="L77" s="29" t="str">
        <f t="shared" ref="L77:M77" si="302">if(ISBLANK($C77), "", L$1)</f>
        <v>fa-solid fa-ruler-horizontal</v>
      </c>
      <c r="M77" s="29" t="str">
        <f t="shared" si="302"/>
        <v>Spatial resolution</v>
      </c>
      <c r="N77" s="34" t="str">
        <f>HLOOKUP(N$1,google_form!$1:$196,$A77,FALSE)</f>
        <v>0.083° x 0.083°</v>
      </c>
      <c r="O77" s="29" t="str">
        <f t="shared" ref="O77:P77" si="303">if(ISBLANK($C77), "", O$1)</f>
        <v>fa-solid fa-calendar-days</v>
      </c>
      <c r="P77" s="29" t="str">
        <f t="shared" si="303"/>
        <v>Period</v>
      </c>
      <c r="Q77" s="29" t="str">
        <f>HLOOKUP(Q$1,google_form!$1:$196,$A77,FALSE)</f>
        <v>1980-2019</v>
      </c>
      <c r="R77" s="29" t="str">
        <f>HLOOKUP(R$1,google_form!$1:$196,$A77,FALSE)</f>
        <v>INCOIS-BIO-ROMS, developed following the RECCAP-2 Ocean Modeling Protocol, integrates model simulations with field and reconstructed data to enhance understanding of Ocean Acidification in the Indian Ocean.</v>
      </c>
      <c r="S77" s="29" t="str">
        <f>HLOOKUP(S$1,google_form!$1:$196,$A77,FALSE)</f>
        <v>Chakraborty et al. (2024)</v>
      </c>
      <c r="T77" s="33" t="str">
        <f>HLOOKUP(T$1,google_form!$1:$196,$A77,FALSE)</f>
        <v>https://doi.org/10.1029/2024GB008139</v>
      </c>
      <c r="U77" s="33" t="str">
        <f>HLOOKUP(U$1,google_form!$1:$196,$A77,FALSE)</f>
        <v>https://www.ncei.noaa.gov/data/oceans/ncei/ocads/metadata/0307663.html</v>
      </c>
      <c r="V77" s="29" t="str">
        <f t="shared" si="10"/>
        <v>Description</v>
      </c>
      <c r="W77" s="29" t="str">
        <f>HLOOKUP(W$1,google_form!$1:$196,$A77,FALSE)</f>
        <v>INCOIS‐BIO‐ROMS Simulated Surface pCO2 and pH for the Indian Ocean: This data product presents a comprehensive assessment of OA trends across the Indian Ocean and its sub-regions from 1980 to 2019, leveraging outputs from a regional, high-resolution coupled ocean-ecosystem model (INCOIS-BIO-ROMS), an offline biogeochemical (BGC) model, and two machine learning-based products (Chakraborty et al., 2024). INCOIS-BIO-ROMS, configured at 1/12° resolution for the Indian Ocean, was developed in accordance with the “RECCAP-2: Ocean Modeling Protocol” for regional oceans. The INCOIS‐BIO‐ROMS simulated surface pCO2 and pH data product is available from the INCOIS Portal (https://las.incois.gov.in) and from OCADS: https://www.ncei.noaa.gov/data/oceans/ncei/ocads/metadata/0307663.html (Chakraborty et al., 2025).</v>
      </c>
      <c r="X77" s="29" t="str">
        <f t="shared" si="11"/>
        <v>Reference</v>
      </c>
      <c r="Y77" s="29" t="str">
        <f>HLOOKUP(Y$1,google_form!$1:$196,$A77,FALSE)</f>
        <v> Chakraborty, K., Joshi, A. P., Ghoshal, P. K., Baduru, B., Valsala, V., Sarma, V. V. S. S., et al. (2024). Indian Ocean acidification and its driving mechanisms over the last four decades (1980–2019). Global Biogeochemical Cycles, 38, e2024GB008139. https://doi.org/10.1029/2024GB008139</v>
      </c>
    </row>
    <row r="78">
      <c r="A78" s="29">
        <v>77.0</v>
      </c>
      <c r="B78" s="29" t="str">
        <f>HLOOKUP(B$1,google_form!$1:$216,$A78,FALSE)</f>
        <v>Model-based</v>
      </c>
      <c r="C78" s="29" t="str">
        <f>HLOOKUP(C$1,google_form!$1:$216,$A78,FALSE)</f>
        <v>Ocean Circulation Inverse Model (OCIM2-48L)</v>
      </c>
      <c r="D78" s="29" t="str">
        <f>HLOOKUP(D$1,google_form!$1:$216,$A78,FALSE)</f>
        <v>DeVries (2022b)</v>
      </c>
      <c r="E78" s="33" t="str">
        <f>HLOOKUP(E$1,google_form!$1:$216,$A78,FALSE)</f>
        <v>https://i.ibb.co/Xxbcrf2b/Screenshot-2025-11-14-at-08-56-35.png</v>
      </c>
      <c r="F78" s="29" t="str">
        <f t="shared" ref="F78:G78" si="304">if(ISBLANK($C78), "", F$1)</f>
        <v>fa-solid fa-globe</v>
      </c>
      <c r="G78" s="29" t="str">
        <f t="shared" si="304"/>
        <v>Spatial domains</v>
      </c>
      <c r="H78" s="29" t="str">
        <f>HLOOKUP(H$1,google_form!$1:$196,$A78,FALSE)</f>
        <v>Open ocean</v>
      </c>
      <c r="I78" s="29" t="str">
        <f t="shared" ref="I78:J78" si="305">if(ISBLANK($C78), "", I$1)</f>
        <v>fa-solid fa-hourglass-start</v>
      </c>
      <c r="J78" s="29" t="str">
        <f t="shared" si="305"/>
        <v>Temporal resolution</v>
      </c>
      <c r="K78" s="29" t="str">
        <f>HLOOKUP(K$1,google_form!$1:$196,$A78,FALSE)</f>
        <v>yearly</v>
      </c>
      <c r="L78" s="29" t="str">
        <f t="shared" ref="L78:M78" si="306">if(ISBLANK($C78), "", L$1)</f>
        <v>fa-solid fa-ruler-horizontal</v>
      </c>
      <c r="M78" s="29" t="str">
        <f t="shared" si="306"/>
        <v>Spatial resolution</v>
      </c>
      <c r="N78" s="34" t="str">
        <f>HLOOKUP(N$1,google_form!$1:$196,$A78,FALSE)</f>
        <v>2° x 2°</v>
      </c>
      <c r="O78" s="29" t="str">
        <f t="shared" ref="O78:P78" si="307">if(ISBLANK($C78), "", O$1)</f>
        <v>fa-solid fa-calendar-days</v>
      </c>
      <c r="P78" s="29" t="str">
        <f t="shared" si="307"/>
        <v>Period</v>
      </c>
      <c r="Q78" s="29" t="str">
        <f>HLOOKUP(Q$1,google_form!$1:$196,$A78,FALSE)</f>
        <v>1780-2020</v>
      </c>
      <c r="R78" s="29" t="str">
        <f>HLOOKUP(R$1,google_form!$1:$196,$A78,FALSE)</f>
        <v>Data-constrained estimate of anthropogenic CO2 accumulation in the ocean from inverting physical ocean circulation tracers</v>
      </c>
      <c r="S78" s="29" t="str">
        <f>HLOOKUP(S$1,google_form!$1:$196,$A78,FALSE)</f>
        <v>DeVries (2022b)</v>
      </c>
      <c r="T78" s="33" t="str">
        <f>HLOOKUP(T$1,google_form!$1:$196,$A78,FALSE)</f>
        <v>https://doi.org/10.1029/2021GL096018</v>
      </c>
      <c r="U78" s="33" t="str">
        <f>HLOOKUP(U$1,google_form!$1:$196,$A78,FALSE)</f>
        <v>https://figshare.com/articles/dataset/OCIM2-48L_abiotic_ocean_carbon_cycle_model_output/19341974</v>
      </c>
      <c r="V78" s="29" t="str">
        <f t="shared" si="10"/>
        <v>Description</v>
      </c>
      <c r="W78" s="29" t="str">
        <f>HLOOKUP(W$1,google_form!$1:$196,$A78,FALSE)</f>
        <v>Data-constrained estimate of anthropogenic CO2 accumulation in the ocean from inverting physical ocean circulation tracers</v>
      </c>
      <c r="X78" s="29" t="str">
        <f t="shared" si="11"/>
        <v>Reference</v>
      </c>
      <c r="Y78" s="29" t="str">
        <f>HLOOKUP(Y$1,google_form!$1:$196,$A78,FALSE)</f>
        <v>DeVries, T. (2022). Atmospheric CO2 and sea surface temperature variability cannot explain recent decadal variability of the ocean CO2 sink. Geophysical Research Letters, 49(7), e2021GL096018.</v>
      </c>
    </row>
    <row r="79">
      <c r="A79" s="29">
        <v>78.0</v>
      </c>
      <c r="B79" s="29" t="str">
        <f>HLOOKUP(B$1,google_form!$1:$216,$A79,FALSE)</f>
        <v/>
      </c>
      <c r="C79" s="29" t="str">
        <f>HLOOKUP(C$1,google_form!$1:$216,$A79,FALSE)</f>
        <v/>
      </c>
      <c r="D79" s="29" t="str">
        <f>HLOOKUP(D$1,google_form!$1:$216,$A79,FALSE)</f>
        <v/>
      </c>
      <c r="E79" s="29" t="str">
        <f>HLOOKUP(E$1,google_form!$1:$216,$A79,FALSE)</f>
        <v/>
      </c>
      <c r="F79" s="29" t="str">
        <f t="shared" ref="F79:G79" si="308">if(ISBLANK($C79), "", F$1)</f>
        <v/>
      </c>
      <c r="G79" s="29" t="str">
        <f t="shared" si="308"/>
        <v/>
      </c>
      <c r="H79" s="29" t="str">
        <f>HLOOKUP(H$1,google_form!$1:$196,$A79,FALSE)</f>
        <v/>
      </c>
      <c r="I79" s="29" t="str">
        <f t="shared" ref="I79:J79" si="309">if(ISBLANK($C79), "", I$1)</f>
        <v/>
      </c>
      <c r="J79" s="29" t="str">
        <f t="shared" si="309"/>
        <v/>
      </c>
      <c r="K79" s="29" t="str">
        <f>HLOOKUP(K$1,google_form!$1:$196,$A79,FALSE)</f>
        <v/>
      </c>
      <c r="L79" s="29" t="str">
        <f t="shared" ref="L79:M79" si="310">if(ISBLANK($C79), "", L$1)</f>
        <v/>
      </c>
      <c r="M79" s="29" t="str">
        <f t="shared" si="310"/>
        <v/>
      </c>
      <c r="N79" s="34" t="str">
        <f>HLOOKUP(N$1,google_form!$1:$196,$A79,FALSE)</f>
        <v/>
      </c>
      <c r="O79" s="29" t="str">
        <f t="shared" ref="O79:P79" si="311">if(ISBLANK($C79), "", O$1)</f>
        <v/>
      </c>
      <c r="P79" s="29" t="str">
        <f t="shared" si="311"/>
        <v/>
      </c>
      <c r="Q79" s="29" t="str">
        <f>HLOOKUP(Q$1,google_form!$1:$196,$A79,FALSE)</f>
        <v/>
      </c>
      <c r="R79" s="29" t="str">
        <f>HLOOKUP(R$1,google_form!$1:$196,$A79,FALSE)</f>
        <v/>
      </c>
      <c r="S79" s="29" t="str">
        <f>HLOOKUP(S$1,google_form!$1:$196,$A79,FALSE)</f>
        <v/>
      </c>
      <c r="T79" s="29" t="str">
        <f>HLOOKUP(T$1,google_form!$1:$196,$A79,FALSE)</f>
        <v/>
      </c>
      <c r="U79" s="29" t="str">
        <f>HLOOKUP(U$1,google_form!$1:$196,$A79,FALSE)</f>
        <v/>
      </c>
      <c r="V79" s="29" t="str">
        <f t="shared" si="10"/>
        <v/>
      </c>
      <c r="W79" s="29" t="str">
        <f>HLOOKUP(W$1,google_form!$1:$196,$A79,FALSE)</f>
        <v/>
      </c>
      <c r="X79" s="29" t="str">
        <f t="shared" si="11"/>
        <v/>
      </c>
      <c r="Y79" s="29" t="str">
        <f>HLOOKUP(Y$1,google_form!$1:$196,$A79,FALSE)</f>
        <v/>
      </c>
    </row>
    <row r="80">
      <c r="A80" s="29">
        <v>79.0</v>
      </c>
      <c r="B80" s="29" t="str">
        <f>HLOOKUP(B$1,google_form!$1:$216,$A80,FALSE)</f>
        <v/>
      </c>
      <c r="C80" s="29" t="str">
        <f>HLOOKUP(C$1,google_form!$1:$216,$A80,FALSE)</f>
        <v/>
      </c>
      <c r="D80" s="29" t="str">
        <f>HLOOKUP(D$1,google_form!$1:$216,$A80,FALSE)</f>
        <v/>
      </c>
      <c r="E80" s="29" t="str">
        <f>HLOOKUP(E$1,google_form!$1:$216,$A80,FALSE)</f>
        <v/>
      </c>
      <c r="F80" s="29" t="str">
        <f t="shared" ref="F80:G80" si="312">if(ISBLANK($C80), "", F$1)</f>
        <v/>
      </c>
      <c r="G80" s="29" t="str">
        <f t="shared" si="312"/>
        <v/>
      </c>
      <c r="H80" s="29" t="str">
        <f>HLOOKUP(H$1,google_form!$1:$196,$A80,FALSE)</f>
        <v/>
      </c>
      <c r="I80" s="29" t="str">
        <f t="shared" ref="I80:J80" si="313">if(ISBLANK($C80), "", I$1)</f>
        <v/>
      </c>
      <c r="J80" s="29" t="str">
        <f t="shared" si="313"/>
        <v/>
      </c>
      <c r="K80" s="29" t="str">
        <f>HLOOKUP(K$1,google_form!$1:$196,$A80,FALSE)</f>
        <v/>
      </c>
      <c r="L80" s="29" t="str">
        <f t="shared" ref="L80:M80" si="314">if(ISBLANK($C80), "", L$1)</f>
        <v/>
      </c>
      <c r="M80" s="29" t="str">
        <f t="shared" si="314"/>
        <v/>
      </c>
      <c r="N80" s="34" t="str">
        <f>HLOOKUP(N$1,google_form!$1:$196,$A80,FALSE)</f>
        <v/>
      </c>
      <c r="O80" s="29" t="str">
        <f t="shared" ref="O80:P80" si="315">if(ISBLANK($C80), "", O$1)</f>
        <v/>
      </c>
      <c r="P80" s="29" t="str">
        <f t="shared" si="315"/>
        <v/>
      </c>
      <c r="Q80" s="29" t="str">
        <f>HLOOKUP(Q$1,google_form!$1:$196,$A80,FALSE)</f>
        <v/>
      </c>
      <c r="R80" s="29" t="str">
        <f>HLOOKUP(R$1,google_form!$1:$196,$A80,FALSE)</f>
        <v/>
      </c>
      <c r="S80" s="29" t="str">
        <f>HLOOKUP(S$1,google_form!$1:$196,$A80,FALSE)</f>
        <v/>
      </c>
      <c r="T80" s="29" t="str">
        <f>HLOOKUP(T$1,google_form!$1:$196,$A80,FALSE)</f>
        <v/>
      </c>
      <c r="U80" s="29" t="str">
        <f>HLOOKUP(U$1,google_form!$1:$196,$A80,FALSE)</f>
        <v/>
      </c>
      <c r="V80" s="29" t="str">
        <f t="shared" si="10"/>
        <v/>
      </c>
      <c r="W80" s="29" t="str">
        <f>HLOOKUP(W$1,google_form!$1:$196,$A80,FALSE)</f>
        <v/>
      </c>
      <c r="X80" s="29" t="str">
        <f t="shared" si="11"/>
        <v/>
      </c>
      <c r="Y80" s="29" t="str">
        <f>HLOOKUP(Y$1,google_form!$1:$196,$A80,FALSE)</f>
        <v/>
      </c>
    </row>
    <row r="81">
      <c r="A81" s="29">
        <v>80.0</v>
      </c>
      <c r="B81" s="29" t="str">
        <f>HLOOKUP(B$1,google_form!$1:$216,$A81,FALSE)</f>
        <v/>
      </c>
      <c r="C81" s="29" t="str">
        <f>HLOOKUP(C$1,google_form!$1:$216,$A81,FALSE)</f>
        <v/>
      </c>
      <c r="D81" s="29" t="str">
        <f>HLOOKUP(D$1,google_form!$1:$216,$A81,FALSE)</f>
        <v/>
      </c>
      <c r="E81" s="29" t="str">
        <f>HLOOKUP(E$1,google_form!$1:$216,$A81,FALSE)</f>
        <v/>
      </c>
      <c r="F81" s="29" t="str">
        <f t="shared" ref="F81:G81" si="316">if(ISBLANK($C81), "", F$1)</f>
        <v/>
      </c>
      <c r="G81" s="29" t="str">
        <f t="shared" si="316"/>
        <v/>
      </c>
      <c r="H81" s="29" t="str">
        <f>HLOOKUP(H$1,google_form!$1:$196,$A81,FALSE)</f>
        <v/>
      </c>
      <c r="I81" s="29" t="str">
        <f t="shared" ref="I81:J81" si="317">if(ISBLANK($C81), "", I$1)</f>
        <v/>
      </c>
      <c r="J81" s="29" t="str">
        <f t="shared" si="317"/>
        <v/>
      </c>
      <c r="K81" s="29" t="str">
        <f>HLOOKUP(K$1,google_form!$1:$196,$A81,FALSE)</f>
        <v/>
      </c>
      <c r="L81" s="29" t="str">
        <f t="shared" ref="L81:M81" si="318">if(ISBLANK($C81), "", L$1)</f>
        <v/>
      </c>
      <c r="M81" s="29" t="str">
        <f t="shared" si="318"/>
        <v/>
      </c>
      <c r="N81" s="34" t="str">
        <f>HLOOKUP(N$1,google_form!$1:$196,$A81,FALSE)</f>
        <v/>
      </c>
      <c r="O81" s="29" t="str">
        <f t="shared" ref="O81:P81" si="319">if(ISBLANK($C81), "", O$1)</f>
        <v/>
      </c>
      <c r="P81" s="29" t="str">
        <f t="shared" si="319"/>
        <v/>
      </c>
      <c r="Q81" s="29" t="str">
        <f>HLOOKUP(Q$1,google_form!$1:$196,$A81,FALSE)</f>
        <v/>
      </c>
      <c r="R81" s="29" t="str">
        <f>HLOOKUP(R$1,google_form!$1:$196,$A81,FALSE)</f>
        <v/>
      </c>
      <c r="S81" s="29" t="str">
        <f>HLOOKUP(S$1,google_form!$1:$196,$A81,FALSE)</f>
        <v/>
      </c>
      <c r="T81" s="29" t="str">
        <f>HLOOKUP(T$1,google_form!$1:$196,$A81,FALSE)</f>
        <v/>
      </c>
      <c r="U81" s="29" t="str">
        <f>HLOOKUP(U$1,google_form!$1:$196,$A81,FALSE)</f>
        <v/>
      </c>
      <c r="V81" s="29" t="str">
        <f t="shared" si="10"/>
        <v/>
      </c>
      <c r="W81" s="29" t="str">
        <f>HLOOKUP(W$1,google_form!$1:$196,$A81,FALSE)</f>
        <v/>
      </c>
      <c r="X81" s="29" t="str">
        <f t="shared" si="11"/>
        <v/>
      </c>
      <c r="Y81" s="29" t="str">
        <f>HLOOKUP(Y$1,google_form!$1:$196,$A81,FALSE)</f>
        <v/>
      </c>
    </row>
    <row r="82">
      <c r="A82" s="29">
        <v>81.0</v>
      </c>
      <c r="B82" s="29" t="str">
        <f>HLOOKUP(B$1,google_form!$1:$216,$A82,FALSE)</f>
        <v/>
      </c>
      <c r="C82" s="29" t="str">
        <f>HLOOKUP(C$1,google_form!$1:$216,$A82,FALSE)</f>
        <v/>
      </c>
      <c r="D82" s="29" t="str">
        <f>HLOOKUP(D$1,google_form!$1:$216,$A82,FALSE)</f>
        <v/>
      </c>
      <c r="E82" s="29" t="str">
        <f>HLOOKUP(E$1,google_form!$1:$216,$A82,FALSE)</f>
        <v/>
      </c>
      <c r="F82" s="29" t="str">
        <f t="shared" ref="F82:G82" si="320">if(ISBLANK($C82), "", F$1)</f>
        <v/>
      </c>
      <c r="G82" s="29" t="str">
        <f t="shared" si="320"/>
        <v/>
      </c>
      <c r="H82" s="29" t="str">
        <f>HLOOKUP(H$1,google_form!$1:$196,$A82,FALSE)</f>
        <v/>
      </c>
      <c r="I82" s="29" t="str">
        <f t="shared" ref="I82:J82" si="321">if(ISBLANK($C82), "", I$1)</f>
        <v/>
      </c>
      <c r="J82" s="29" t="str">
        <f t="shared" si="321"/>
        <v/>
      </c>
      <c r="K82" s="29" t="str">
        <f>HLOOKUP(K$1,google_form!$1:$196,$A82,FALSE)</f>
        <v/>
      </c>
      <c r="L82" s="29" t="str">
        <f t="shared" ref="L82:M82" si="322">if(ISBLANK($C82), "", L$1)</f>
        <v/>
      </c>
      <c r="M82" s="29" t="str">
        <f t="shared" si="322"/>
        <v/>
      </c>
      <c r="N82" s="34" t="str">
        <f>HLOOKUP(N$1,google_form!$1:$196,$A82,FALSE)</f>
        <v/>
      </c>
      <c r="O82" s="29" t="str">
        <f t="shared" ref="O82:P82" si="323">if(ISBLANK($C82), "", O$1)</f>
        <v/>
      </c>
      <c r="P82" s="29" t="str">
        <f t="shared" si="323"/>
        <v/>
      </c>
      <c r="Q82" s="29" t="str">
        <f>HLOOKUP(Q$1,google_form!$1:$196,$A82,FALSE)</f>
        <v/>
      </c>
      <c r="R82" s="29" t="str">
        <f>HLOOKUP(R$1,google_form!$1:$196,$A82,FALSE)</f>
        <v/>
      </c>
      <c r="S82" s="29" t="str">
        <f>HLOOKUP(S$1,google_form!$1:$196,$A82,FALSE)</f>
        <v/>
      </c>
      <c r="T82" s="29" t="str">
        <f>HLOOKUP(T$1,google_form!$1:$196,$A82,FALSE)</f>
        <v/>
      </c>
      <c r="U82" s="29" t="str">
        <f>HLOOKUP(U$1,google_form!$1:$196,$A82,FALSE)</f>
        <v/>
      </c>
      <c r="V82" s="29" t="str">
        <f t="shared" si="10"/>
        <v/>
      </c>
      <c r="W82" s="29" t="str">
        <f>HLOOKUP(W$1,google_form!$1:$196,$A82,FALSE)</f>
        <v/>
      </c>
      <c r="X82" s="29" t="str">
        <f t="shared" si="11"/>
        <v/>
      </c>
      <c r="Y82" s="29" t="str">
        <f>HLOOKUP(Y$1,google_form!$1:$196,$A82,FALSE)</f>
        <v/>
      </c>
    </row>
    <row r="83">
      <c r="A83" s="29">
        <v>82.0</v>
      </c>
      <c r="B83" s="29" t="str">
        <f>HLOOKUP(B$1,google_form!$1:$216,$A83,FALSE)</f>
        <v/>
      </c>
      <c r="C83" s="29" t="str">
        <f>HLOOKUP(C$1,google_form!$1:$216,$A83,FALSE)</f>
        <v/>
      </c>
      <c r="D83" s="29" t="str">
        <f>HLOOKUP(D$1,google_form!$1:$216,$A83,FALSE)</f>
        <v/>
      </c>
      <c r="E83" s="29" t="str">
        <f>HLOOKUP(E$1,google_form!$1:$216,$A83,FALSE)</f>
        <v/>
      </c>
      <c r="F83" s="29" t="str">
        <f t="shared" ref="F83:G83" si="324">if(ISBLANK($C83), "", F$1)</f>
        <v/>
      </c>
      <c r="G83" s="29" t="str">
        <f t="shared" si="324"/>
        <v/>
      </c>
      <c r="H83" s="29" t="str">
        <f>HLOOKUP(H$1,google_form!$1:$196,$A83,FALSE)</f>
        <v/>
      </c>
      <c r="I83" s="29" t="str">
        <f t="shared" ref="I83:J83" si="325">if(ISBLANK($C83), "", I$1)</f>
        <v/>
      </c>
      <c r="J83" s="29" t="str">
        <f t="shared" si="325"/>
        <v/>
      </c>
      <c r="K83" s="29" t="str">
        <f>HLOOKUP(K$1,google_form!$1:$196,$A83,FALSE)</f>
        <v/>
      </c>
      <c r="L83" s="29" t="str">
        <f t="shared" ref="L83:M83" si="326">if(ISBLANK($C83), "", L$1)</f>
        <v/>
      </c>
      <c r="M83" s="29" t="str">
        <f t="shared" si="326"/>
        <v/>
      </c>
      <c r="N83" s="34" t="str">
        <f>HLOOKUP(N$1,google_form!$1:$196,$A83,FALSE)</f>
        <v/>
      </c>
      <c r="O83" s="29" t="str">
        <f t="shared" ref="O83:P83" si="327">if(ISBLANK($C83), "", O$1)</f>
        <v/>
      </c>
      <c r="P83" s="29" t="str">
        <f t="shared" si="327"/>
        <v/>
      </c>
      <c r="Q83" s="29" t="str">
        <f>HLOOKUP(Q$1,google_form!$1:$196,$A83,FALSE)</f>
        <v/>
      </c>
      <c r="R83" s="29" t="str">
        <f>HLOOKUP(R$1,google_form!$1:$196,$A83,FALSE)</f>
        <v/>
      </c>
      <c r="S83" s="29" t="str">
        <f>HLOOKUP(S$1,google_form!$1:$196,$A83,FALSE)</f>
        <v/>
      </c>
      <c r="T83" s="29" t="str">
        <f>HLOOKUP(T$1,google_form!$1:$196,$A83,FALSE)</f>
        <v/>
      </c>
      <c r="U83" s="29" t="str">
        <f>HLOOKUP(U$1,google_form!$1:$196,$A83,FALSE)</f>
        <v/>
      </c>
      <c r="V83" s="29" t="str">
        <f t="shared" si="10"/>
        <v/>
      </c>
      <c r="W83" s="29" t="str">
        <f>HLOOKUP(W$1,google_form!$1:$196,$A83,FALSE)</f>
        <v/>
      </c>
      <c r="X83" s="29" t="str">
        <f t="shared" si="11"/>
        <v/>
      </c>
      <c r="Y83" s="29" t="str">
        <f>HLOOKUP(Y$1,google_form!$1:$196,$A83,FALSE)</f>
        <v/>
      </c>
    </row>
    <row r="84">
      <c r="A84" s="29">
        <v>83.0</v>
      </c>
      <c r="B84" s="29" t="str">
        <f>HLOOKUP(B$1,google_form!$1:$216,$A84,FALSE)</f>
        <v/>
      </c>
      <c r="C84" s="29" t="str">
        <f>HLOOKUP(C$1,google_form!$1:$216,$A84,FALSE)</f>
        <v/>
      </c>
      <c r="D84" s="29" t="str">
        <f>HLOOKUP(D$1,google_form!$1:$216,$A84,FALSE)</f>
        <v/>
      </c>
      <c r="E84" s="29" t="str">
        <f>HLOOKUP(E$1,google_form!$1:$216,$A84,FALSE)</f>
        <v/>
      </c>
      <c r="F84" s="29" t="str">
        <f t="shared" ref="F84:G84" si="328">if(ISBLANK($C84), "", F$1)</f>
        <v/>
      </c>
      <c r="G84" s="29" t="str">
        <f t="shared" si="328"/>
        <v/>
      </c>
      <c r="H84" s="29" t="str">
        <f>HLOOKUP(H$1,google_form!$1:$196,$A84,FALSE)</f>
        <v/>
      </c>
      <c r="I84" s="29" t="str">
        <f t="shared" ref="I84:J84" si="329">if(ISBLANK($C84), "", I$1)</f>
        <v/>
      </c>
      <c r="J84" s="29" t="str">
        <f t="shared" si="329"/>
        <v/>
      </c>
      <c r="K84" s="29" t="str">
        <f>HLOOKUP(K$1,google_form!$1:$196,$A84,FALSE)</f>
        <v/>
      </c>
      <c r="L84" s="29" t="str">
        <f t="shared" ref="L84:M84" si="330">if(ISBLANK($C84), "", L$1)</f>
        <v/>
      </c>
      <c r="M84" s="29" t="str">
        <f t="shared" si="330"/>
        <v/>
      </c>
      <c r="N84" s="34" t="str">
        <f>HLOOKUP(N$1,google_form!$1:$196,$A84,FALSE)</f>
        <v/>
      </c>
      <c r="O84" s="29" t="str">
        <f t="shared" ref="O84:P84" si="331">if(ISBLANK($C84), "", O$1)</f>
        <v/>
      </c>
      <c r="P84" s="29" t="str">
        <f t="shared" si="331"/>
        <v/>
      </c>
      <c r="Q84" s="29" t="str">
        <f>HLOOKUP(Q$1,google_form!$1:$196,$A84,FALSE)</f>
        <v/>
      </c>
      <c r="R84" s="29" t="str">
        <f>HLOOKUP(R$1,google_form!$1:$196,$A84,FALSE)</f>
        <v/>
      </c>
      <c r="S84" s="29" t="str">
        <f>HLOOKUP(S$1,google_form!$1:$196,$A84,FALSE)</f>
        <v/>
      </c>
      <c r="T84" s="29" t="str">
        <f>HLOOKUP(T$1,google_form!$1:$196,$A84,FALSE)</f>
        <v/>
      </c>
      <c r="U84" s="29" t="str">
        <f>HLOOKUP(U$1,google_form!$1:$196,$A84,FALSE)</f>
        <v/>
      </c>
      <c r="V84" s="29" t="str">
        <f t="shared" si="10"/>
        <v/>
      </c>
      <c r="W84" s="29" t="str">
        <f>HLOOKUP(W$1,google_form!$1:$196,$A84,FALSE)</f>
        <v/>
      </c>
      <c r="X84" s="29" t="str">
        <f t="shared" si="11"/>
        <v/>
      </c>
      <c r="Y84" s="29" t="str">
        <f>HLOOKUP(Y$1,google_form!$1:$196,$A84,FALSE)</f>
        <v/>
      </c>
    </row>
    <row r="85">
      <c r="A85" s="29">
        <v>84.0</v>
      </c>
      <c r="B85" s="29" t="str">
        <f>HLOOKUP(B$1,google_form!$1:$216,$A85,FALSE)</f>
        <v/>
      </c>
      <c r="C85" s="29" t="str">
        <f>HLOOKUP(C$1,google_form!$1:$216,$A85,FALSE)</f>
        <v/>
      </c>
      <c r="D85" s="29" t="str">
        <f>HLOOKUP(D$1,google_form!$1:$216,$A85,FALSE)</f>
        <v/>
      </c>
      <c r="E85" s="29" t="str">
        <f>HLOOKUP(E$1,google_form!$1:$216,$A85,FALSE)</f>
        <v/>
      </c>
      <c r="F85" s="29" t="str">
        <f t="shared" ref="F85:G85" si="332">if(ISBLANK($C85), "", F$1)</f>
        <v/>
      </c>
      <c r="G85" s="29" t="str">
        <f t="shared" si="332"/>
        <v/>
      </c>
      <c r="H85" s="29" t="str">
        <f>HLOOKUP(H$1,google_form!$1:$196,$A85,FALSE)</f>
        <v/>
      </c>
      <c r="I85" s="29" t="str">
        <f t="shared" ref="I85:J85" si="333">if(ISBLANK($C85), "", I$1)</f>
        <v/>
      </c>
      <c r="J85" s="29" t="str">
        <f t="shared" si="333"/>
        <v/>
      </c>
      <c r="K85" s="29" t="str">
        <f>HLOOKUP(K$1,google_form!$1:$196,$A85,FALSE)</f>
        <v/>
      </c>
      <c r="L85" s="29" t="str">
        <f t="shared" ref="L85:M85" si="334">if(ISBLANK($C85), "", L$1)</f>
        <v/>
      </c>
      <c r="M85" s="29" t="str">
        <f t="shared" si="334"/>
        <v/>
      </c>
      <c r="N85" s="34" t="str">
        <f>HLOOKUP(N$1,google_form!$1:$196,$A85,FALSE)</f>
        <v/>
      </c>
      <c r="O85" s="29" t="str">
        <f t="shared" ref="O85:P85" si="335">if(ISBLANK($C85), "", O$1)</f>
        <v/>
      </c>
      <c r="P85" s="29" t="str">
        <f t="shared" si="335"/>
        <v/>
      </c>
      <c r="Q85" s="29" t="str">
        <f>HLOOKUP(Q$1,google_form!$1:$196,$A85,FALSE)</f>
        <v/>
      </c>
      <c r="R85" s="29" t="str">
        <f>HLOOKUP(R$1,google_form!$1:$196,$A85,FALSE)</f>
        <v/>
      </c>
      <c r="S85" s="29" t="str">
        <f>HLOOKUP(S$1,google_form!$1:$196,$A85,FALSE)</f>
        <v/>
      </c>
      <c r="T85" s="29" t="str">
        <f>HLOOKUP(T$1,google_form!$1:$196,$A85,FALSE)</f>
        <v/>
      </c>
      <c r="U85" s="29" t="str">
        <f>HLOOKUP(U$1,google_form!$1:$196,$A85,FALSE)</f>
        <v/>
      </c>
      <c r="V85" s="29" t="str">
        <f t="shared" si="10"/>
        <v/>
      </c>
      <c r="W85" s="29" t="str">
        <f>HLOOKUP(W$1,google_form!$1:$196,$A85,FALSE)</f>
        <v/>
      </c>
      <c r="X85" s="29" t="str">
        <f t="shared" si="11"/>
        <v/>
      </c>
      <c r="Y85" s="29" t="str">
        <f>HLOOKUP(Y$1,google_form!$1:$196,$A85,FALSE)</f>
        <v/>
      </c>
    </row>
    <row r="86">
      <c r="A86" s="29">
        <v>85.0</v>
      </c>
      <c r="B86" s="29" t="str">
        <f>HLOOKUP(B$1,google_form!$1:$216,$A86,FALSE)</f>
        <v/>
      </c>
      <c r="C86" s="29" t="str">
        <f>HLOOKUP(C$1,google_form!$1:$216,$A86,FALSE)</f>
        <v/>
      </c>
      <c r="D86" s="29" t="str">
        <f>HLOOKUP(D$1,google_form!$1:$216,$A86,FALSE)</f>
        <v/>
      </c>
      <c r="E86" s="29" t="str">
        <f>HLOOKUP(E$1,google_form!$1:$216,$A86,FALSE)</f>
        <v/>
      </c>
      <c r="F86" s="29" t="str">
        <f t="shared" ref="F86:G86" si="336">if(ISBLANK($C86), "", F$1)</f>
        <v/>
      </c>
      <c r="G86" s="29" t="str">
        <f t="shared" si="336"/>
        <v/>
      </c>
      <c r="H86" s="29" t="str">
        <f>HLOOKUP(H$1,google_form!$1:$196,$A86,FALSE)</f>
        <v/>
      </c>
      <c r="I86" s="29" t="str">
        <f t="shared" ref="I86:J86" si="337">if(ISBLANK($C86), "", I$1)</f>
        <v/>
      </c>
      <c r="J86" s="29" t="str">
        <f t="shared" si="337"/>
        <v/>
      </c>
      <c r="K86" s="29" t="str">
        <f>HLOOKUP(K$1,google_form!$1:$196,$A86,FALSE)</f>
        <v/>
      </c>
      <c r="L86" s="29" t="str">
        <f t="shared" ref="L86:M86" si="338">if(ISBLANK($C86), "", L$1)</f>
        <v/>
      </c>
      <c r="M86" s="29" t="str">
        <f t="shared" si="338"/>
        <v/>
      </c>
      <c r="N86" s="34" t="str">
        <f>HLOOKUP(N$1,google_form!$1:$196,$A86,FALSE)</f>
        <v/>
      </c>
      <c r="O86" s="29" t="str">
        <f t="shared" ref="O86:P86" si="339">if(ISBLANK($C86), "", O$1)</f>
        <v/>
      </c>
      <c r="P86" s="29" t="str">
        <f t="shared" si="339"/>
        <v/>
      </c>
      <c r="Q86" s="29" t="str">
        <f>HLOOKUP(Q$1,google_form!$1:$196,$A86,FALSE)</f>
        <v/>
      </c>
      <c r="R86" s="29" t="str">
        <f>HLOOKUP(R$1,google_form!$1:$196,$A86,FALSE)</f>
        <v/>
      </c>
      <c r="S86" s="29" t="str">
        <f>HLOOKUP(S$1,google_form!$1:$196,$A86,FALSE)</f>
        <v/>
      </c>
      <c r="T86" s="29" t="str">
        <f>HLOOKUP(T$1,google_form!$1:$196,$A86,FALSE)</f>
        <v/>
      </c>
      <c r="U86" s="29" t="str">
        <f>HLOOKUP(U$1,google_form!$1:$196,$A86,FALSE)</f>
        <v/>
      </c>
      <c r="V86" s="29" t="str">
        <f t="shared" si="10"/>
        <v/>
      </c>
      <c r="W86" s="29" t="str">
        <f>HLOOKUP(W$1,google_form!$1:$196,$A86,FALSE)</f>
        <v/>
      </c>
      <c r="X86" s="29" t="str">
        <f t="shared" si="11"/>
        <v/>
      </c>
      <c r="Y86" s="29" t="str">
        <f>HLOOKUP(Y$1,google_form!$1:$196,$A86,FALSE)</f>
        <v/>
      </c>
    </row>
    <row r="87">
      <c r="A87" s="29">
        <v>86.0</v>
      </c>
      <c r="B87" s="29" t="str">
        <f>HLOOKUP(B$1,google_form!$1:$216,$A87,FALSE)</f>
        <v/>
      </c>
      <c r="C87" s="29" t="str">
        <f>HLOOKUP(C$1,google_form!$1:$216,$A87,FALSE)</f>
        <v/>
      </c>
      <c r="D87" s="29" t="str">
        <f>HLOOKUP(D$1,google_form!$1:$216,$A87,FALSE)</f>
        <v/>
      </c>
      <c r="E87" s="29" t="str">
        <f>HLOOKUP(E$1,google_form!$1:$216,$A87,FALSE)</f>
        <v/>
      </c>
      <c r="F87" s="29" t="str">
        <f t="shared" ref="F87:G87" si="340">if(ISBLANK($C87), "", F$1)</f>
        <v/>
      </c>
      <c r="G87" s="29" t="str">
        <f t="shared" si="340"/>
        <v/>
      </c>
      <c r="H87" s="29" t="str">
        <f>HLOOKUP(H$1,google_form!$1:$196,$A87,FALSE)</f>
        <v/>
      </c>
      <c r="I87" s="29" t="str">
        <f t="shared" ref="I87:J87" si="341">if(ISBLANK($C87), "", I$1)</f>
        <v/>
      </c>
      <c r="J87" s="29" t="str">
        <f t="shared" si="341"/>
        <v/>
      </c>
      <c r="K87" s="29" t="str">
        <f>HLOOKUP(K$1,google_form!$1:$196,$A87,FALSE)</f>
        <v/>
      </c>
      <c r="L87" s="29" t="str">
        <f t="shared" ref="L87:M87" si="342">if(ISBLANK($C87), "", L$1)</f>
        <v/>
      </c>
      <c r="M87" s="29" t="str">
        <f t="shared" si="342"/>
        <v/>
      </c>
      <c r="N87" s="34" t="str">
        <f>HLOOKUP(N$1,google_form!$1:$196,$A87,FALSE)</f>
        <v/>
      </c>
      <c r="O87" s="29" t="str">
        <f t="shared" ref="O87:P87" si="343">if(ISBLANK($C87), "", O$1)</f>
        <v/>
      </c>
      <c r="P87" s="29" t="str">
        <f t="shared" si="343"/>
        <v/>
      </c>
      <c r="Q87" s="29" t="str">
        <f>HLOOKUP(Q$1,google_form!$1:$196,$A87,FALSE)</f>
        <v/>
      </c>
      <c r="R87" s="29" t="str">
        <f>HLOOKUP(R$1,google_form!$1:$196,$A87,FALSE)</f>
        <v/>
      </c>
      <c r="S87" s="29" t="str">
        <f>HLOOKUP(S$1,google_form!$1:$196,$A87,FALSE)</f>
        <v/>
      </c>
      <c r="T87" s="29" t="str">
        <f>HLOOKUP(T$1,google_form!$1:$196,$A87,FALSE)</f>
        <v/>
      </c>
      <c r="U87" s="29" t="str">
        <f>HLOOKUP(U$1,google_form!$1:$196,$A87,FALSE)</f>
        <v/>
      </c>
      <c r="V87" s="29" t="str">
        <f t="shared" si="10"/>
        <v/>
      </c>
      <c r="W87" s="29" t="str">
        <f>HLOOKUP(W$1,google_form!$1:$196,$A87,FALSE)</f>
        <v/>
      </c>
      <c r="X87" s="29" t="str">
        <f t="shared" si="11"/>
        <v/>
      </c>
      <c r="Y87" s="29" t="str">
        <f>HLOOKUP(Y$1,google_form!$1:$196,$A87,FALSE)</f>
        <v/>
      </c>
    </row>
    <row r="88">
      <c r="A88" s="29">
        <v>87.0</v>
      </c>
      <c r="B88" s="29" t="str">
        <f>HLOOKUP(B$1,google_form!$1:$216,$A88,FALSE)</f>
        <v/>
      </c>
      <c r="C88" s="29" t="str">
        <f>HLOOKUP(C$1,google_form!$1:$216,$A88,FALSE)</f>
        <v/>
      </c>
      <c r="D88" s="29" t="str">
        <f>HLOOKUP(D$1,google_form!$1:$216,$A88,FALSE)</f>
        <v/>
      </c>
      <c r="E88" s="29" t="str">
        <f>HLOOKUP(E$1,google_form!$1:$216,$A88,FALSE)</f>
        <v/>
      </c>
      <c r="F88" s="29" t="str">
        <f t="shared" ref="F88:G88" si="344">if(ISBLANK($C88), "", F$1)</f>
        <v/>
      </c>
      <c r="G88" s="29" t="str">
        <f t="shared" si="344"/>
        <v/>
      </c>
      <c r="H88" s="29" t="str">
        <f>HLOOKUP(H$1,google_form!$1:$196,$A88,FALSE)</f>
        <v/>
      </c>
      <c r="I88" s="29" t="str">
        <f t="shared" ref="I88:J88" si="345">if(ISBLANK($C88), "", I$1)</f>
        <v/>
      </c>
      <c r="J88" s="29" t="str">
        <f t="shared" si="345"/>
        <v/>
      </c>
      <c r="K88" s="29" t="str">
        <f>HLOOKUP(K$1,google_form!$1:$196,$A88,FALSE)</f>
        <v/>
      </c>
      <c r="L88" s="29" t="str">
        <f t="shared" ref="L88:M88" si="346">if(ISBLANK($C88), "", L$1)</f>
        <v/>
      </c>
      <c r="M88" s="29" t="str">
        <f t="shared" si="346"/>
        <v/>
      </c>
      <c r="N88" s="34" t="str">
        <f>HLOOKUP(N$1,google_form!$1:$196,$A88,FALSE)</f>
        <v/>
      </c>
      <c r="O88" s="29" t="str">
        <f t="shared" ref="O88:P88" si="347">if(ISBLANK($C88), "", O$1)</f>
        <v/>
      </c>
      <c r="P88" s="29" t="str">
        <f t="shared" si="347"/>
        <v/>
      </c>
      <c r="Q88" s="29" t="str">
        <f>HLOOKUP(Q$1,google_form!$1:$196,$A88,FALSE)</f>
        <v/>
      </c>
      <c r="R88" s="29" t="str">
        <f>HLOOKUP(R$1,google_form!$1:$196,$A88,FALSE)</f>
        <v/>
      </c>
      <c r="S88" s="29" t="str">
        <f>HLOOKUP(S$1,google_form!$1:$196,$A88,FALSE)</f>
        <v/>
      </c>
      <c r="T88" s="29" t="str">
        <f>HLOOKUP(T$1,google_form!$1:$196,$A88,FALSE)</f>
        <v/>
      </c>
      <c r="U88" s="29" t="str">
        <f>HLOOKUP(U$1,google_form!$1:$196,$A88,FALSE)</f>
        <v/>
      </c>
      <c r="V88" s="29" t="str">
        <f t="shared" si="10"/>
        <v/>
      </c>
      <c r="W88" s="29" t="str">
        <f>HLOOKUP(W$1,google_form!$1:$196,$A88,FALSE)</f>
        <v/>
      </c>
      <c r="X88" s="29" t="str">
        <f t="shared" si="11"/>
        <v/>
      </c>
      <c r="Y88" s="29" t="str">
        <f>HLOOKUP(Y$1,google_form!$1:$196,$A88,FALSE)</f>
        <v/>
      </c>
    </row>
    <row r="89">
      <c r="A89" s="29">
        <v>88.0</v>
      </c>
      <c r="B89" s="29" t="str">
        <f>HLOOKUP(B$1,google_form!$1:$216,$A89,FALSE)</f>
        <v/>
      </c>
      <c r="C89" s="29" t="str">
        <f>HLOOKUP(C$1,google_form!$1:$216,$A89,FALSE)</f>
        <v/>
      </c>
      <c r="D89" s="29" t="str">
        <f>HLOOKUP(D$1,google_form!$1:$216,$A89,FALSE)</f>
        <v/>
      </c>
      <c r="E89" s="29" t="str">
        <f>HLOOKUP(E$1,google_form!$1:$216,$A89,FALSE)</f>
        <v/>
      </c>
      <c r="F89" s="29" t="str">
        <f t="shared" ref="F89:G89" si="348">if(ISBLANK($C89), "", F$1)</f>
        <v/>
      </c>
      <c r="G89" s="29" t="str">
        <f t="shared" si="348"/>
        <v/>
      </c>
      <c r="H89" s="29" t="str">
        <f>HLOOKUP(H$1,google_form!$1:$196,$A89,FALSE)</f>
        <v/>
      </c>
      <c r="I89" s="29" t="str">
        <f t="shared" ref="I89:J89" si="349">if(ISBLANK($C89), "", I$1)</f>
        <v/>
      </c>
      <c r="J89" s="29" t="str">
        <f t="shared" si="349"/>
        <v/>
      </c>
      <c r="K89" s="29" t="str">
        <f>HLOOKUP(K$1,google_form!$1:$196,$A89,FALSE)</f>
        <v/>
      </c>
      <c r="L89" s="29" t="str">
        <f t="shared" ref="L89:M89" si="350">if(ISBLANK($C89), "", L$1)</f>
        <v/>
      </c>
      <c r="M89" s="29" t="str">
        <f t="shared" si="350"/>
        <v/>
      </c>
      <c r="N89" s="34" t="str">
        <f>HLOOKUP(N$1,google_form!$1:$196,$A89,FALSE)</f>
        <v/>
      </c>
      <c r="O89" s="29" t="str">
        <f t="shared" ref="O89:P89" si="351">if(ISBLANK($C89), "", O$1)</f>
        <v/>
      </c>
      <c r="P89" s="29" t="str">
        <f t="shared" si="351"/>
        <v/>
      </c>
      <c r="Q89" s="29" t="str">
        <f>HLOOKUP(Q$1,google_form!$1:$196,$A89,FALSE)</f>
        <v/>
      </c>
      <c r="R89" s="29" t="str">
        <f>HLOOKUP(R$1,google_form!$1:$196,$A89,FALSE)</f>
        <v/>
      </c>
      <c r="S89" s="29" t="str">
        <f>HLOOKUP(S$1,google_form!$1:$196,$A89,FALSE)</f>
        <v/>
      </c>
      <c r="T89" s="29" t="str">
        <f>HLOOKUP(T$1,google_form!$1:$196,$A89,FALSE)</f>
        <v/>
      </c>
      <c r="U89" s="29" t="str">
        <f>HLOOKUP(U$1,google_form!$1:$196,$A89,FALSE)</f>
        <v/>
      </c>
      <c r="V89" s="29" t="str">
        <f t="shared" si="10"/>
        <v/>
      </c>
      <c r="W89" s="29" t="str">
        <f>HLOOKUP(W$1,google_form!$1:$196,$A89,FALSE)</f>
        <v/>
      </c>
      <c r="X89" s="29" t="str">
        <f t="shared" si="11"/>
        <v/>
      </c>
      <c r="Y89" s="29" t="str">
        <f>HLOOKUP(Y$1,google_form!$1:$196,$A89,FALSE)</f>
        <v/>
      </c>
    </row>
    <row r="90">
      <c r="A90" s="29">
        <v>89.0</v>
      </c>
      <c r="B90" s="29" t="str">
        <f>HLOOKUP(B$1,google_form!$1:$216,$A90,FALSE)</f>
        <v/>
      </c>
      <c r="C90" s="29" t="str">
        <f>HLOOKUP(C$1,google_form!$1:$216,$A90,FALSE)</f>
        <v/>
      </c>
      <c r="D90" s="29" t="str">
        <f>HLOOKUP(D$1,google_form!$1:$216,$A90,FALSE)</f>
        <v/>
      </c>
      <c r="E90" s="29" t="str">
        <f>HLOOKUP(E$1,google_form!$1:$216,$A90,FALSE)</f>
        <v/>
      </c>
      <c r="F90" s="29" t="str">
        <f t="shared" ref="F90:G90" si="352">if(ISBLANK($C90), "", F$1)</f>
        <v/>
      </c>
      <c r="G90" s="29" t="str">
        <f t="shared" si="352"/>
        <v/>
      </c>
      <c r="H90" s="29" t="str">
        <f>HLOOKUP(H$1,google_form!$1:$196,$A90,FALSE)</f>
        <v/>
      </c>
      <c r="I90" s="29" t="str">
        <f t="shared" ref="I90:J90" si="353">if(ISBLANK($C90), "", I$1)</f>
        <v/>
      </c>
      <c r="J90" s="29" t="str">
        <f t="shared" si="353"/>
        <v/>
      </c>
      <c r="K90" s="29" t="str">
        <f>HLOOKUP(K$1,google_form!$1:$196,$A90,FALSE)</f>
        <v/>
      </c>
      <c r="L90" s="29" t="str">
        <f t="shared" ref="L90:M90" si="354">if(ISBLANK($C90), "", L$1)</f>
        <v/>
      </c>
      <c r="M90" s="29" t="str">
        <f t="shared" si="354"/>
        <v/>
      </c>
      <c r="N90" s="34" t="str">
        <f>HLOOKUP(N$1,google_form!$1:$196,$A90,FALSE)</f>
        <v/>
      </c>
      <c r="O90" s="29" t="str">
        <f t="shared" ref="O90:P90" si="355">if(ISBLANK($C90), "", O$1)</f>
        <v/>
      </c>
      <c r="P90" s="29" t="str">
        <f t="shared" si="355"/>
        <v/>
      </c>
      <c r="Q90" s="29" t="str">
        <f>HLOOKUP(Q$1,google_form!$1:$196,$A90,FALSE)</f>
        <v/>
      </c>
      <c r="R90" s="29" t="str">
        <f>HLOOKUP(R$1,google_form!$1:$196,$A90,FALSE)</f>
        <v/>
      </c>
      <c r="S90" s="29" t="str">
        <f>HLOOKUP(S$1,google_form!$1:$196,$A90,FALSE)</f>
        <v/>
      </c>
      <c r="T90" s="29" t="str">
        <f>HLOOKUP(T$1,google_form!$1:$196,$A90,FALSE)</f>
        <v/>
      </c>
      <c r="U90" s="29" t="str">
        <f>HLOOKUP(U$1,google_form!$1:$196,$A90,FALSE)</f>
        <v/>
      </c>
      <c r="V90" s="29" t="str">
        <f t="shared" si="10"/>
        <v/>
      </c>
      <c r="W90" s="29" t="str">
        <f>HLOOKUP(W$1,google_form!$1:$196,$A90,FALSE)</f>
        <v/>
      </c>
      <c r="X90" s="29" t="str">
        <f t="shared" si="11"/>
        <v/>
      </c>
      <c r="Y90" s="29" t="str">
        <f>HLOOKUP(Y$1,google_form!$1:$196,$A90,FALSE)</f>
        <v/>
      </c>
    </row>
    <row r="91">
      <c r="A91" s="29">
        <v>90.0</v>
      </c>
      <c r="B91" s="29" t="str">
        <f>HLOOKUP(B$1,google_form!$1:$216,$A91,FALSE)</f>
        <v/>
      </c>
      <c r="C91" s="29" t="str">
        <f>HLOOKUP(C$1,google_form!$1:$216,$A91,FALSE)</f>
        <v/>
      </c>
      <c r="D91" s="29" t="str">
        <f>HLOOKUP(D$1,google_form!$1:$216,$A91,FALSE)</f>
        <v/>
      </c>
      <c r="E91" s="29" t="str">
        <f>HLOOKUP(E$1,google_form!$1:$216,$A91,FALSE)</f>
        <v/>
      </c>
      <c r="F91" s="29" t="str">
        <f t="shared" ref="F91:G91" si="356">if(ISBLANK($C91), "", F$1)</f>
        <v/>
      </c>
      <c r="G91" s="29" t="str">
        <f t="shared" si="356"/>
        <v/>
      </c>
      <c r="H91" s="29" t="str">
        <f>HLOOKUP(H$1,google_form!$1:$196,$A91,FALSE)</f>
        <v/>
      </c>
      <c r="I91" s="29" t="str">
        <f t="shared" ref="I91:J91" si="357">if(ISBLANK($C91), "", I$1)</f>
        <v/>
      </c>
      <c r="J91" s="29" t="str">
        <f t="shared" si="357"/>
        <v/>
      </c>
      <c r="K91" s="29" t="str">
        <f>HLOOKUP(K$1,google_form!$1:$196,$A91,FALSE)</f>
        <v/>
      </c>
      <c r="L91" s="29" t="str">
        <f t="shared" ref="L91:M91" si="358">if(ISBLANK($C91), "", L$1)</f>
        <v/>
      </c>
      <c r="M91" s="29" t="str">
        <f t="shared" si="358"/>
        <v/>
      </c>
      <c r="N91" s="34" t="str">
        <f>HLOOKUP(N$1,google_form!$1:$196,$A91,FALSE)</f>
        <v/>
      </c>
      <c r="O91" s="29" t="str">
        <f t="shared" ref="O91:P91" si="359">if(ISBLANK($C91), "", O$1)</f>
        <v/>
      </c>
      <c r="P91" s="29" t="str">
        <f t="shared" si="359"/>
        <v/>
      </c>
      <c r="Q91" s="29" t="str">
        <f>HLOOKUP(Q$1,google_form!$1:$196,$A91,FALSE)</f>
        <v/>
      </c>
      <c r="R91" s="29" t="str">
        <f>HLOOKUP(R$1,google_form!$1:$196,$A91,FALSE)</f>
        <v/>
      </c>
      <c r="S91" s="29" t="str">
        <f>HLOOKUP(S$1,google_form!$1:$196,$A91,FALSE)</f>
        <v/>
      </c>
      <c r="T91" s="29" t="str">
        <f>HLOOKUP(T$1,google_form!$1:$196,$A91,FALSE)</f>
        <v/>
      </c>
      <c r="U91" s="29" t="str">
        <f>HLOOKUP(U$1,google_form!$1:$196,$A91,FALSE)</f>
        <v/>
      </c>
      <c r="V91" s="29" t="str">
        <f t="shared" si="10"/>
        <v/>
      </c>
      <c r="W91" s="29" t="str">
        <f>HLOOKUP(W$1,google_form!$1:$196,$A91,FALSE)</f>
        <v/>
      </c>
      <c r="X91" s="29" t="str">
        <f t="shared" si="11"/>
        <v/>
      </c>
      <c r="Y91" s="29" t="str">
        <f>HLOOKUP(Y$1,google_form!$1:$196,$A91,FALSE)</f>
        <v/>
      </c>
    </row>
    <row r="92">
      <c r="A92" s="29">
        <v>91.0</v>
      </c>
      <c r="B92" s="29" t="str">
        <f>HLOOKUP(B$1,google_form!$1:$216,$A92,FALSE)</f>
        <v/>
      </c>
      <c r="C92" s="29" t="str">
        <f>HLOOKUP(C$1,google_form!$1:$216,$A92,FALSE)</f>
        <v/>
      </c>
      <c r="D92" s="29" t="str">
        <f>HLOOKUP(D$1,google_form!$1:$216,$A92,FALSE)</f>
        <v/>
      </c>
      <c r="E92" s="29" t="str">
        <f>HLOOKUP(E$1,google_form!$1:$216,$A92,FALSE)</f>
        <v/>
      </c>
      <c r="F92" s="29" t="str">
        <f t="shared" ref="F92:G92" si="360">if(ISBLANK($C92), "", F$1)</f>
        <v/>
      </c>
      <c r="G92" s="29" t="str">
        <f t="shared" si="360"/>
        <v/>
      </c>
      <c r="H92" s="29" t="str">
        <f>HLOOKUP(H$1,google_form!$1:$196,$A92,FALSE)</f>
        <v/>
      </c>
      <c r="I92" s="29" t="str">
        <f t="shared" ref="I92:J92" si="361">if(ISBLANK($C92), "", I$1)</f>
        <v/>
      </c>
      <c r="J92" s="29" t="str">
        <f t="shared" si="361"/>
        <v/>
      </c>
      <c r="K92" s="29" t="str">
        <f>HLOOKUP(K$1,google_form!$1:$196,$A92,FALSE)</f>
        <v/>
      </c>
      <c r="L92" s="29" t="str">
        <f t="shared" ref="L92:M92" si="362">if(ISBLANK($C92), "", L$1)</f>
        <v/>
      </c>
      <c r="M92" s="29" t="str">
        <f t="shared" si="362"/>
        <v/>
      </c>
      <c r="N92" s="34" t="str">
        <f>HLOOKUP(N$1,google_form!$1:$196,$A92,FALSE)</f>
        <v/>
      </c>
      <c r="O92" s="29" t="str">
        <f t="shared" ref="O92:P92" si="363">if(ISBLANK($C92), "", O$1)</f>
        <v/>
      </c>
      <c r="P92" s="29" t="str">
        <f t="shared" si="363"/>
        <v/>
      </c>
      <c r="Q92" s="29" t="str">
        <f>HLOOKUP(Q$1,google_form!$1:$196,$A92,FALSE)</f>
        <v/>
      </c>
      <c r="R92" s="29" t="str">
        <f>HLOOKUP(R$1,google_form!$1:$196,$A92,FALSE)</f>
        <v/>
      </c>
      <c r="S92" s="29" t="str">
        <f>HLOOKUP(S$1,google_form!$1:$196,$A92,FALSE)</f>
        <v/>
      </c>
      <c r="T92" s="29" t="str">
        <f>HLOOKUP(T$1,google_form!$1:$196,$A92,FALSE)</f>
        <v/>
      </c>
      <c r="U92" s="29" t="str">
        <f>HLOOKUP(U$1,google_form!$1:$196,$A92,FALSE)</f>
        <v/>
      </c>
      <c r="V92" s="29" t="str">
        <f t="shared" si="10"/>
        <v/>
      </c>
      <c r="W92" s="29" t="str">
        <f>HLOOKUP(W$1,google_form!$1:$196,$A92,FALSE)</f>
        <v/>
      </c>
      <c r="X92" s="29" t="str">
        <f t="shared" si="11"/>
        <v/>
      </c>
      <c r="Y92" s="29" t="str">
        <f>HLOOKUP(Y$1,google_form!$1:$196,$A92,FALSE)</f>
        <v/>
      </c>
    </row>
    <row r="93">
      <c r="A93" s="29">
        <v>92.0</v>
      </c>
      <c r="B93" s="29" t="str">
        <f>HLOOKUP(B$1,google_form!$1:$216,$A93,FALSE)</f>
        <v/>
      </c>
      <c r="C93" s="29" t="str">
        <f>HLOOKUP(C$1,google_form!$1:$216,$A93,FALSE)</f>
        <v/>
      </c>
      <c r="D93" s="29" t="str">
        <f>HLOOKUP(D$1,google_form!$1:$216,$A93,FALSE)</f>
        <v/>
      </c>
      <c r="E93" s="29" t="str">
        <f>HLOOKUP(E$1,google_form!$1:$216,$A93,FALSE)</f>
        <v/>
      </c>
      <c r="F93" s="29" t="str">
        <f t="shared" ref="F93:G93" si="364">if(ISBLANK($C93), "", F$1)</f>
        <v/>
      </c>
      <c r="G93" s="29" t="str">
        <f t="shared" si="364"/>
        <v/>
      </c>
      <c r="H93" s="29" t="str">
        <f>HLOOKUP(H$1,google_form!$1:$196,$A93,FALSE)</f>
        <v/>
      </c>
      <c r="I93" s="29" t="str">
        <f t="shared" ref="I93:J93" si="365">if(ISBLANK($C93), "", I$1)</f>
        <v/>
      </c>
      <c r="J93" s="29" t="str">
        <f t="shared" si="365"/>
        <v/>
      </c>
      <c r="K93" s="29" t="str">
        <f>HLOOKUP(K$1,google_form!$1:$196,$A93,FALSE)</f>
        <v/>
      </c>
      <c r="L93" s="29" t="str">
        <f t="shared" ref="L93:M93" si="366">if(ISBLANK($C93), "", L$1)</f>
        <v/>
      </c>
      <c r="M93" s="29" t="str">
        <f t="shared" si="366"/>
        <v/>
      </c>
      <c r="N93" s="34" t="str">
        <f>HLOOKUP(N$1,google_form!$1:$196,$A93,FALSE)</f>
        <v/>
      </c>
      <c r="O93" s="29" t="str">
        <f t="shared" ref="O93:P93" si="367">if(ISBLANK($C93), "", O$1)</f>
        <v/>
      </c>
      <c r="P93" s="29" t="str">
        <f t="shared" si="367"/>
        <v/>
      </c>
      <c r="Q93" s="29" t="str">
        <f>HLOOKUP(Q$1,google_form!$1:$196,$A93,FALSE)</f>
        <v/>
      </c>
      <c r="R93" s="29" t="str">
        <f>HLOOKUP(R$1,google_form!$1:$196,$A93,FALSE)</f>
        <v/>
      </c>
      <c r="S93" s="29" t="str">
        <f>HLOOKUP(S$1,google_form!$1:$196,$A93,FALSE)</f>
        <v/>
      </c>
      <c r="T93" s="29" t="str">
        <f>HLOOKUP(T$1,google_form!$1:$196,$A93,FALSE)</f>
        <v/>
      </c>
      <c r="U93" s="29" t="str">
        <f>HLOOKUP(U$1,google_form!$1:$196,$A93,FALSE)</f>
        <v/>
      </c>
      <c r="V93" s="29" t="str">
        <f t="shared" si="10"/>
        <v/>
      </c>
      <c r="W93" s="29" t="str">
        <f>HLOOKUP(W$1,google_form!$1:$196,$A93,FALSE)</f>
        <v/>
      </c>
      <c r="X93" s="29" t="str">
        <f t="shared" si="11"/>
        <v/>
      </c>
      <c r="Y93" s="29" t="str">
        <f>HLOOKUP(Y$1,google_form!$1:$196,$A93,FALSE)</f>
        <v/>
      </c>
    </row>
    <row r="94">
      <c r="A94" s="29">
        <v>93.0</v>
      </c>
      <c r="B94" s="29" t="str">
        <f>HLOOKUP(B$1,google_form!$1:$216,$A94,FALSE)</f>
        <v/>
      </c>
      <c r="C94" s="29" t="str">
        <f>HLOOKUP(C$1,google_form!$1:$216,$A94,FALSE)</f>
        <v/>
      </c>
      <c r="D94" s="29" t="str">
        <f>HLOOKUP(D$1,google_form!$1:$216,$A94,FALSE)</f>
        <v/>
      </c>
      <c r="E94" s="29" t="str">
        <f>HLOOKUP(E$1,google_form!$1:$216,$A94,FALSE)</f>
        <v/>
      </c>
      <c r="F94" s="29" t="str">
        <f t="shared" ref="F94:G94" si="368">if(ISBLANK($C94), "", F$1)</f>
        <v/>
      </c>
      <c r="G94" s="29" t="str">
        <f t="shared" si="368"/>
        <v/>
      </c>
      <c r="H94" s="29" t="str">
        <f>HLOOKUP(H$1,google_form!$1:$196,$A94,FALSE)</f>
        <v/>
      </c>
      <c r="I94" s="29" t="str">
        <f t="shared" ref="I94:J94" si="369">if(ISBLANK($C94), "", I$1)</f>
        <v/>
      </c>
      <c r="J94" s="29" t="str">
        <f t="shared" si="369"/>
        <v/>
      </c>
      <c r="K94" s="29" t="str">
        <f>HLOOKUP(K$1,google_form!$1:$196,$A94,FALSE)</f>
        <v/>
      </c>
      <c r="L94" s="29" t="str">
        <f t="shared" ref="L94:M94" si="370">if(ISBLANK($C94), "", L$1)</f>
        <v/>
      </c>
      <c r="M94" s="29" t="str">
        <f t="shared" si="370"/>
        <v/>
      </c>
      <c r="N94" s="34" t="str">
        <f>HLOOKUP(N$1,google_form!$1:$196,$A94,FALSE)</f>
        <v/>
      </c>
      <c r="O94" s="29" t="str">
        <f t="shared" ref="O94:P94" si="371">if(ISBLANK($C94), "", O$1)</f>
        <v/>
      </c>
      <c r="P94" s="29" t="str">
        <f t="shared" si="371"/>
        <v/>
      </c>
      <c r="Q94" s="29" t="str">
        <f>HLOOKUP(Q$1,google_form!$1:$196,$A94,FALSE)</f>
        <v/>
      </c>
      <c r="R94" s="29" t="str">
        <f>HLOOKUP(R$1,google_form!$1:$196,$A94,FALSE)</f>
        <v/>
      </c>
      <c r="S94" s="29" t="str">
        <f>HLOOKUP(S$1,google_form!$1:$196,$A94,FALSE)</f>
        <v/>
      </c>
      <c r="T94" s="29" t="str">
        <f>HLOOKUP(T$1,google_form!$1:$196,$A94,FALSE)</f>
        <v/>
      </c>
      <c r="U94" s="29" t="str">
        <f>HLOOKUP(U$1,google_form!$1:$196,$A94,FALSE)</f>
        <v/>
      </c>
      <c r="V94" s="29" t="str">
        <f t="shared" si="10"/>
        <v/>
      </c>
      <c r="W94" s="29" t="str">
        <f>HLOOKUP(W$1,google_form!$1:$196,$A94,FALSE)</f>
        <v/>
      </c>
      <c r="X94" s="29" t="str">
        <f t="shared" si="11"/>
        <v/>
      </c>
      <c r="Y94" s="29" t="str">
        <f>HLOOKUP(Y$1,google_form!$1:$196,$A94,FALSE)</f>
        <v/>
      </c>
    </row>
    <row r="95">
      <c r="A95" s="29">
        <v>94.0</v>
      </c>
      <c r="B95" s="29" t="str">
        <f>HLOOKUP(B$1,google_form!$1:$216,$A95,FALSE)</f>
        <v/>
      </c>
      <c r="C95" s="29" t="str">
        <f>HLOOKUP(C$1,google_form!$1:$216,$A95,FALSE)</f>
        <v/>
      </c>
      <c r="D95" s="29" t="str">
        <f>HLOOKUP(D$1,google_form!$1:$216,$A95,FALSE)</f>
        <v/>
      </c>
      <c r="E95" s="29" t="str">
        <f>HLOOKUP(E$1,google_form!$1:$216,$A95,FALSE)</f>
        <v/>
      </c>
      <c r="F95" s="29" t="str">
        <f t="shared" ref="F95:G95" si="372">if(ISBLANK($C95), "", F$1)</f>
        <v/>
      </c>
      <c r="G95" s="29" t="str">
        <f t="shared" si="372"/>
        <v/>
      </c>
      <c r="H95" s="29" t="str">
        <f>HLOOKUP(H$1,google_form!$1:$196,$A95,FALSE)</f>
        <v/>
      </c>
      <c r="I95" s="29" t="str">
        <f t="shared" ref="I95:J95" si="373">if(ISBLANK($C95), "", I$1)</f>
        <v/>
      </c>
      <c r="J95" s="29" t="str">
        <f t="shared" si="373"/>
        <v/>
      </c>
      <c r="K95" s="29" t="str">
        <f>HLOOKUP(K$1,google_form!$1:$196,$A95,FALSE)</f>
        <v/>
      </c>
      <c r="L95" s="29" t="str">
        <f t="shared" ref="L95:M95" si="374">if(ISBLANK($C95), "", L$1)</f>
        <v/>
      </c>
      <c r="M95" s="29" t="str">
        <f t="shared" si="374"/>
        <v/>
      </c>
      <c r="N95" s="34" t="str">
        <f>HLOOKUP(N$1,google_form!$1:$196,$A95,FALSE)</f>
        <v/>
      </c>
      <c r="O95" s="29" t="str">
        <f t="shared" ref="O95:P95" si="375">if(ISBLANK($C95), "", O$1)</f>
        <v/>
      </c>
      <c r="P95" s="29" t="str">
        <f t="shared" si="375"/>
        <v/>
      </c>
      <c r="Q95" s="29" t="str">
        <f>HLOOKUP(Q$1,google_form!$1:$196,$A95,FALSE)</f>
        <v/>
      </c>
      <c r="R95" s="29" t="str">
        <f>HLOOKUP(R$1,google_form!$1:$196,$A95,FALSE)</f>
        <v/>
      </c>
      <c r="S95" s="29" t="str">
        <f>HLOOKUP(S$1,google_form!$1:$196,$A95,FALSE)</f>
        <v/>
      </c>
      <c r="T95" s="29" t="str">
        <f>HLOOKUP(T$1,google_form!$1:$196,$A95,FALSE)</f>
        <v/>
      </c>
      <c r="U95" s="29" t="str">
        <f>HLOOKUP(U$1,google_form!$1:$196,$A95,FALSE)</f>
        <v/>
      </c>
      <c r="V95" s="29" t="str">
        <f t="shared" si="10"/>
        <v/>
      </c>
      <c r="W95" s="29" t="str">
        <f>HLOOKUP(W$1,google_form!$1:$196,$A95,FALSE)</f>
        <v/>
      </c>
      <c r="X95" s="29" t="str">
        <f t="shared" si="11"/>
        <v/>
      </c>
      <c r="Y95" s="29" t="str">
        <f>HLOOKUP(Y$1,google_form!$1:$196,$A95,FALSE)</f>
        <v/>
      </c>
    </row>
    <row r="96">
      <c r="A96" s="29">
        <v>95.0</v>
      </c>
      <c r="B96" s="29" t="str">
        <f>HLOOKUP(B$1,google_form!$1:$216,$A96,FALSE)</f>
        <v/>
      </c>
      <c r="C96" s="29" t="str">
        <f>HLOOKUP(C$1,google_form!$1:$216,$A96,FALSE)</f>
        <v/>
      </c>
      <c r="D96" s="29" t="str">
        <f>HLOOKUP(D$1,google_form!$1:$216,$A96,FALSE)</f>
        <v/>
      </c>
      <c r="E96" s="29" t="str">
        <f>HLOOKUP(E$1,google_form!$1:$216,$A96,FALSE)</f>
        <v/>
      </c>
      <c r="F96" s="29" t="str">
        <f t="shared" ref="F96:G96" si="376">if(ISBLANK($C96), "", F$1)</f>
        <v/>
      </c>
      <c r="G96" s="29" t="str">
        <f t="shared" si="376"/>
        <v/>
      </c>
      <c r="H96" s="29" t="str">
        <f>HLOOKUP(H$1,google_form!$1:$196,$A96,FALSE)</f>
        <v/>
      </c>
      <c r="I96" s="29" t="str">
        <f t="shared" ref="I96:J96" si="377">if(ISBLANK($C96), "", I$1)</f>
        <v/>
      </c>
      <c r="J96" s="29" t="str">
        <f t="shared" si="377"/>
        <v/>
      </c>
      <c r="K96" s="29" t="str">
        <f>HLOOKUP(K$1,google_form!$1:$196,$A96,FALSE)</f>
        <v/>
      </c>
      <c r="L96" s="29" t="str">
        <f t="shared" ref="L96:M96" si="378">if(ISBLANK($C96), "", L$1)</f>
        <v/>
      </c>
      <c r="M96" s="29" t="str">
        <f t="shared" si="378"/>
        <v/>
      </c>
      <c r="N96" s="34" t="str">
        <f>HLOOKUP(N$1,google_form!$1:$196,$A96,FALSE)</f>
        <v/>
      </c>
      <c r="O96" s="29" t="str">
        <f t="shared" ref="O96:P96" si="379">if(ISBLANK($C96), "", O$1)</f>
        <v/>
      </c>
      <c r="P96" s="29" t="str">
        <f t="shared" si="379"/>
        <v/>
      </c>
      <c r="Q96" s="29" t="str">
        <f>HLOOKUP(Q$1,google_form!$1:$196,$A96,FALSE)</f>
        <v/>
      </c>
      <c r="R96" s="29" t="str">
        <f>HLOOKUP(R$1,google_form!$1:$196,$A96,FALSE)</f>
        <v/>
      </c>
      <c r="S96" s="29" t="str">
        <f>HLOOKUP(S$1,google_form!$1:$196,$A96,FALSE)</f>
        <v/>
      </c>
      <c r="T96" s="29" t="str">
        <f>HLOOKUP(T$1,google_form!$1:$196,$A96,FALSE)</f>
        <v/>
      </c>
      <c r="U96" s="29" t="str">
        <f>HLOOKUP(U$1,google_form!$1:$196,$A96,FALSE)</f>
        <v/>
      </c>
      <c r="V96" s="29" t="str">
        <f t="shared" si="10"/>
        <v/>
      </c>
      <c r="W96" s="29" t="str">
        <f>HLOOKUP(W$1,google_form!$1:$196,$A96,FALSE)</f>
        <v/>
      </c>
      <c r="X96" s="29" t="str">
        <f t="shared" si="11"/>
        <v/>
      </c>
      <c r="Y96" s="29" t="str">
        <f>HLOOKUP(Y$1,google_form!$1:$196,$A96,FALSE)</f>
        <v/>
      </c>
    </row>
    <row r="97">
      <c r="A97" s="29">
        <v>96.0</v>
      </c>
      <c r="B97" s="29" t="str">
        <f>HLOOKUP(B$1,google_form!$1:$216,$A97,FALSE)</f>
        <v/>
      </c>
      <c r="C97" s="29" t="str">
        <f>HLOOKUP(C$1,google_form!$1:$216,$A97,FALSE)</f>
        <v/>
      </c>
      <c r="D97" s="29" t="str">
        <f>HLOOKUP(D$1,google_form!$1:$216,$A97,FALSE)</f>
        <v/>
      </c>
      <c r="E97" s="29" t="str">
        <f>HLOOKUP(E$1,google_form!$1:$216,$A97,FALSE)</f>
        <v/>
      </c>
      <c r="F97" s="29" t="str">
        <f t="shared" ref="F97:G97" si="380">if(ISBLANK($C97), "", F$1)</f>
        <v/>
      </c>
      <c r="G97" s="29" t="str">
        <f t="shared" si="380"/>
        <v/>
      </c>
      <c r="H97" s="29" t="str">
        <f>HLOOKUP(H$1,google_form!$1:$196,$A97,FALSE)</f>
        <v/>
      </c>
      <c r="I97" s="29" t="str">
        <f t="shared" ref="I97:J97" si="381">if(ISBLANK($C97), "", I$1)</f>
        <v/>
      </c>
      <c r="J97" s="29" t="str">
        <f t="shared" si="381"/>
        <v/>
      </c>
      <c r="K97" s="29" t="str">
        <f>HLOOKUP(K$1,google_form!$1:$196,$A97,FALSE)</f>
        <v/>
      </c>
      <c r="L97" s="29" t="str">
        <f t="shared" ref="L97:M97" si="382">if(ISBLANK($C97), "", L$1)</f>
        <v/>
      </c>
      <c r="M97" s="29" t="str">
        <f t="shared" si="382"/>
        <v/>
      </c>
      <c r="N97" s="34" t="str">
        <f>HLOOKUP(N$1,google_form!$1:$196,$A97,FALSE)</f>
        <v/>
      </c>
      <c r="O97" s="29" t="str">
        <f t="shared" ref="O97:P97" si="383">if(ISBLANK($C97), "", O$1)</f>
        <v/>
      </c>
      <c r="P97" s="29" t="str">
        <f t="shared" si="383"/>
        <v/>
      </c>
      <c r="Q97" s="29" t="str">
        <f>HLOOKUP(Q$1,google_form!$1:$196,$A97,FALSE)</f>
        <v/>
      </c>
      <c r="R97" s="29" t="str">
        <f>HLOOKUP(R$1,google_form!$1:$196,$A97,FALSE)</f>
        <v/>
      </c>
      <c r="S97" s="29" t="str">
        <f>HLOOKUP(S$1,google_form!$1:$196,$A97,FALSE)</f>
        <v/>
      </c>
      <c r="T97" s="29" t="str">
        <f>HLOOKUP(T$1,google_form!$1:$196,$A97,FALSE)</f>
        <v/>
      </c>
      <c r="U97" s="29" t="str">
        <f>HLOOKUP(U$1,google_form!$1:$196,$A97,FALSE)</f>
        <v/>
      </c>
      <c r="V97" s="29" t="str">
        <f t="shared" si="10"/>
        <v/>
      </c>
      <c r="W97" s="29" t="str">
        <f>HLOOKUP(W$1,google_form!$1:$196,$A97,FALSE)</f>
        <v/>
      </c>
      <c r="X97" s="29" t="str">
        <f t="shared" si="11"/>
        <v/>
      </c>
      <c r="Y97" s="29" t="str">
        <f>HLOOKUP(Y$1,google_form!$1:$196,$A97,FALSE)</f>
        <v/>
      </c>
    </row>
    <row r="98">
      <c r="A98" s="29">
        <v>97.0</v>
      </c>
      <c r="B98" s="29" t="str">
        <f>HLOOKUP(B$1,google_form!$1:$216,$A98,FALSE)</f>
        <v/>
      </c>
      <c r="C98" s="29" t="str">
        <f>HLOOKUP(C$1,google_form!$1:$216,$A98,FALSE)</f>
        <v/>
      </c>
      <c r="D98" s="29" t="str">
        <f>HLOOKUP(D$1,google_form!$1:$216,$A98,FALSE)</f>
        <v/>
      </c>
      <c r="E98" s="29" t="str">
        <f>HLOOKUP(E$1,google_form!$1:$216,$A98,FALSE)</f>
        <v/>
      </c>
      <c r="F98" s="29" t="str">
        <f t="shared" ref="F98:G98" si="384">if(ISBLANK($C98), "", F$1)</f>
        <v/>
      </c>
      <c r="G98" s="29" t="str">
        <f t="shared" si="384"/>
        <v/>
      </c>
      <c r="H98" s="29" t="str">
        <f>HLOOKUP(H$1,google_form!$1:$196,$A98,FALSE)</f>
        <v/>
      </c>
      <c r="I98" s="29" t="str">
        <f t="shared" ref="I98:J98" si="385">if(ISBLANK($C98), "", I$1)</f>
        <v/>
      </c>
      <c r="J98" s="29" t="str">
        <f t="shared" si="385"/>
        <v/>
      </c>
      <c r="K98" s="29" t="str">
        <f>HLOOKUP(K$1,google_form!$1:$196,$A98,FALSE)</f>
        <v/>
      </c>
      <c r="L98" s="29" t="str">
        <f t="shared" ref="L98:M98" si="386">if(ISBLANK($C98), "", L$1)</f>
        <v/>
      </c>
      <c r="M98" s="29" t="str">
        <f t="shared" si="386"/>
        <v/>
      </c>
      <c r="N98" s="34" t="str">
        <f>HLOOKUP(N$1,google_form!$1:$196,$A98,FALSE)</f>
        <v/>
      </c>
      <c r="O98" s="29" t="str">
        <f t="shared" ref="O98:P98" si="387">if(ISBLANK($C98), "", O$1)</f>
        <v/>
      </c>
      <c r="P98" s="29" t="str">
        <f t="shared" si="387"/>
        <v/>
      </c>
      <c r="Q98" s="29" t="str">
        <f>HLOOKUP(Q$1,google_form!$1:$196,$A98,FALSE)</f>
        <v/>
      </c>
      <c r="R98" s="29" t="str">
        <f>HLOOKUP(R$1,google_form!$1:$196,$A98,FALSE)</f>
        <v/>
      </c>
      <c r="S98" s="29" t="str">
        <f>HLOOKUP(S$1,google_form!$1:$196,$A98,FALSE)</f>
        <v/>
      </c>
      <c r="T98" s="29" t="str">
        <f>HLOOKUP(T$1,google_form!$1:$196,$A98,FALSE)</f>
        <v/>
      </c>
      <c r="U98" s="29" t="str">
        <f>HLOOKUP(U$1,google_form!$1:$196,$A98,FALSE)</f>
        <v/>
      </c>
      <c r="V98" s="29" t="str">
        <f t="shared" si="10"/>
        <v/>
      </c>
      <c r="W98" s="29" t="str">
        <f>HLOOKUP(W$1,google_form!$1:$196,$A98,FALSE)</f>
        <v/>
      </c>
      <c r="X98" s="29" t="str">
        <f t="shared" si="11"/>
        <v/>
      </c>
      <c r="Y98" s="29" t="str">
        <f>HLOOKUP(Y$1,google_form!$1:$196,$A98,FALSE)</f>
        <v/>
      </c>
    </row>
    <row r="99">
      <c r="A99" s="29">
        <v>98.0</v>
      </c>
      <c r="B99" s="29" t="str">
        <f>HLOOKUP(B$1,google_form!$1:$216,$A99,FALSE)</f>
        <v/>
      </c>
      <c r="C99" s="29" t="str">
        <f>HLOOKUP(C$1,google_form!$1:$216,$A99,FALSE)</f>
        <v/>
      </c>
      <c r="D99" s="29" t="str">
        <f>HLOOKUP(D$1,google_form!$1:$216,$A99,FALSE)</f>
        <v/>
      </c>
      <c r="E99" s="29" t="str">
        <f>HLOOKUP(E$1,google_form!$1:$216,$A99,FALSE)</f>
        <v/>
      </c>
      <c r="F99" s="29" t="str">
        <f t="shared" ref="F99:G99" si="388">if(ISBLANK($C99), "", F$1)</f>
        <v/>
      </c>
      <c r="G99" s="29" t="str">
        <f t="shared" si="388"/>
        <v/>
      </c>
      <c r="H99" s="29" t="str">
        <f>HLOOKUP(H$1,google_form!$1:$196,$A99,FALSE)</f>
        <v/>
      </c>
      <c r="I99" s="29" t="str">
        <f t="shared" ref="I99:J99" si="389">if(ISBLANK($C99), "", I$1)</f>
        <v/>
      </c>
      <c r="J99" s="29" t="str">
        <f t="shared" si="389"/>
        <v/>
      </c>
      <c r="K99" s="29" t="str">
        <f>HLOOKUP(K$1,google_form!$1:$196,$A99,FALSE)</f>
        <v/>
      </c>
      <c r="L99" s="29" t="str">
        <f t="shared" ref="L99:M99" si="390">if(ISBLANK($C99), "", L$1)</f>
        <v/>
      </c>
      <c r="M99" s="29" t="str">
        <f t="shared" si="390"/>
        <v/>
      </c>
      <c r="N99" s="34" t="str">
        <f>HLOOKUP(N$1,google_form!$1:$196,$A99,FALSE)</f>
        <v/>
      </c>
      <c r="O99" s="29" t="str">
        <f t="shared" ref="O99:P99" si="391">if(ISBLANK($C99), "", O$1)</f>
        <v/>
      </c>
      <c r="P99" s="29" t="str">
        <f t="shared" si="391"/>
        <v/>
      </c>
      <c r="Q99" s="29" t="str">
        <f>HLOOKUP(Q$1,google_form!$1:$196,$A99,FALSE)</f>
        <v/>
      </c>
      <c r="R99" s="29" t="str">
        <f>HLOOKUP(R$1,google_form!$1:$196,$A99,FALSE)</f>
        <v/>
      </c>
      <c r="S99" s="29" t="str">
        <f>HLOOKUP(S$1,google_form!$1:$196,$A99,FALSE)</f>
        <v/>
      </c>
      <c r="T99" s="29" t="str">
        <f>HLOOKUP(T$1,google_form!$1:$196,$A99,FALSE)</f>
        <v/>
      </c>
      <c r="U99" s="29" t="str">
        <f>HLOOKUP(U$1,google_form!$1:$196,$A99,FALSE)</f>
        <v/>
      </c>
      <c r="V99" s="29" t="str">
        <f t="shared" si="10"/>
        <v/>
      </c>
      <c r="W99" s="29" t="str">
        <f>HLOOKUP(W$1,google_form!$1:$196,$A99,FALSE)</f>
        <v/>
      </c>
      <c r="X99" s="29" t="str">
        <f t="shared" si="11"/>
        <v/>
      </c>
      <c r="Y99" s="29" t="str">
        <f>HLOOKUP(Y$1,google_form!$1:$196,$A99,FALSE)</f>
        <v/>
      </c>
    </row>
    <row r="100">
      <c r="A100" s="29">
        <v>99.0</v>
      </c>
      <c r="B100" s="29" t="str">
        <f>HLOOKUP(B$1,google_form!$1:$216,$A100,FALSE)</f>
        <v/>
      </c>
      <c r="C100" s="29" t="str">
        <f>HLOOKUP(C$1,google_form!$1:$216,$A100,FALSE)</f>
        <v/>
      </c>
      <c r="D100" s="29" t="str">
        <f>HLOOKUP(D$1,google_form!$1:$216,$A100,FALSE)</f>
        <v/>
      </c>
      <c r="E100" s="29" t="str">
        <f>HLOOKUP(E$1,google_form!$1:$216,$A100,FALSE)</f>
        <v/>
      </c>
      <c r="F100" s="29" t="str">
        <f t="shared" ref="F100:G100" si="392">if(ISBLANK($C100), "", F$1)</f>
        <v/>
      </c>
      <c r="G100" s="29" t="str">
        <f t="shared" si="392"/>
        <v/>
      </c>
      <c r="H100" s="29" t="str">
        <f>HLOOKUP(H$1,google_form!$1:$196,$A100,FALSE)</f>
        <v/>
      </c>
      <c r="I100" s="29" t="str">
        <f t="shared" ref="I100:J100" si="393">if(ISBLANK($C100), "", I$1)</f>
        <v/>
      </c>
      <c r="J100" s="29" t="str">
        <f t="shared" si="393"/>
        <v/>
      </c>
      <c r="K100" s="29" t="str">
        <f>HLOOKUP(K$1,google_form!$1:$196,$A100,FALSE)</f>
        <v/>
      </c>
      <c r="L100" s="29" t="str">
        <f t="shared" ref="L100:M100" si="394">if(ISBLANK($C100), "", L$1)</f>
        <v/>
      </c>
      <c r="M100" s="29" t="str">
        <f t="shared" si="394"/>
        <v/>
      </c>
      <c r="N100" s="34" t="str">
        <f>HLOOKUP(N$1,google_form!$1:$196,$A100,FALSE)</f>
        <v/>
      </c>
      <c r="O100" s="29" t="str">
        <f t="shared" ref="O100:P100" si="395">if(ISBLANK($C100), "", O$1)</f>
        <v/>
      </c>
      <c r="P100" s="29" t="str">
        <f t="shared" si="395"/>
        <v/>
      </c>
      <c r="Q100" s="29" t="str">
        <f>HLOOKUP(Q$1,google_form!$1:$196,$A100,FALSE)</f>
        <v/>
      </c>
      <c r="R100" s="29" t="str">
        <f>HLOOKUP(R$1,google_form!$1:$196,$A100,FALSE)</f>
        <v/>
      </c>
      <c r="S100" s="29" t="str">
        <f>HLOOKUP(S$1,google_form!$1:$196,$A100,FALSE)</f>
        <v/>
      </c>
      <c r="T100" s="29" t="str">
        <f>HLOOKUP(T$1,google_form!$1:$196,$A100,FALSE)</f>
        <v/>
      </c>
      <c r="U100" s="29" t="str">
        <f>HLOOKUP(U$1,google_form!$1:$196,$A100,FALSE)</f>
        <v/>
      </c>
      <c r="V100" s="29" t="str">
        <f t="shared" si="10"/>
        <v/>
      </c>
      <c r="W100" s="29" t="str">
        <f>HLOOKUP(W$1,google_form!$1:$196,$A100,FALSE)</f>
        <v/>
      </c>
      <c r="X100" s="29" t="str">
        <f t="shared" si="11"/>
        <v/>
      </c>
      <c r="Y100" s="29" t="str">
        <f>HLOOKUP(Y$1,google_form!$1:$196,$A100,FALSE)</f>
        <v/>
      </c>
    </row>
    <row r="101">
      <c r="A101" s="29">
        <v>100.0</v>
      </c>
      <c r="B101" s="29" t="str">
        <f>HLOOKUP(B$1,google_form!$1:$216,$A101,FALSE)</f>
        <v/>
      </c>
      <c r="C101" s="29" t="str">
        <f>HLOOKUP(C$1,google_form!$1:$216,$A101,FALSE)</f>
        <v/>
      </c>
      <c r="D101" s="29" t="str">
        <f>HLOOKUP(D$1,google_form!$1:$216,$A101,FALSE)</f>
        <v/>
      </c>
      <c r="E101" s="29" t="str">
        <f>HLOOKUP(E$1,google_form!$1:$216,$A101,FALSE)</f>
        <v/>
      </c>
      <c r="F101" s="29" t="str">
        <f t="shared" ref="F101:G101" si="396">if(ISBLANK($C101), "", F$1)</f>
        <v/>
      </c>
      <c r="G101" s="29" t="str">
        <f t="shared" si="396"/>
        <v/>
      </c>
      <c r="H101" s="29" t="str">
        <f>HLOOKUP(H$1,google_form!$1:$196,$A101,FALSE)</f>
        <v/>
      </c>
      <c r="I101" s="29" t="str">
        <f t="shared" ref="I101:J101" si="397">if(ISBLANK($C101), "", I$1)</f>
        <v/>
      </c>
      <c r="J101" s="29" t="str">
        <f t="shared" si="397"/>
        <v/>
      </c>
      <c r="K101" s="29" t="str">
        <f>HLOOKUP(K$1,google_form!$1:$196,$A101,FALSE)</f>
        <v/>
      </c>
      <c r="L101" s="29" t="str">
        <f t="shared" ref="L101:M101" si="398">if(ISBLANK($C101), "", L$1)</f>
        <v/>
      </c>
      <c r="M101" s="29" t="str">
        <f t="shared" si="398"/>
        <v/>
      </c>
      <c r="N101" s="34" t="str">
        <f>HLOOKUP(N$1,google_form!$1:$196,$A101,FALSE)</f>
        <v/>
      </c>
      <c r="O101" s="29" t="str">
        <f t="shared" ref="O101:P101" si="399">if(ISBLANK($C101), "", O$1)</f>
        <v/>
      </c>
      <c r="P101" s="29" t="str">
        <f t="shared" si="399"/>
        <v/>
      </c>
      <c r="Q101" s="29" t="str">
        <f>HLOOKUP(Q$1,google_form!$1:$196,$A101,FALSE)</f>
        <v/>
      </c>
      <c r="R101" s="29" t="str">
        <f>HLOOKUP(R$1,google_form!$1:$196,$A101,FALSE)</f>
        <v/>
      </c>
      <c r="S101" s="29" t="str">
        <f>HLOOKUP(S$1,google_form!$1:$196,$A101,FALSE)</f>
        <v/>
      </c>
      <c r="T101" s="29" t="str">
        <f>HLOOKUP(T$1,google_form!$1:$196,$A101,FALSE)</f>
        <v/>
      </c>
      <c r="U101" s="29" t="str">
        <f>HLOOKUP(U$1,google_form!$1:$196,$A101,FALSE)</f>
        <v/>
      </c>
      <c r="V101" s="29" t="str">
        <f t="shared" si="10"/>
        <v/>
      </c>
      <c r="W101" s="29" t="str">
        <f>HLOOKUP(W$1,google_form!$1:$196,$A101,FALSE)</f>
        <v/>
      </c>
      <c r="X101" s="29" t="str">
        <f t="shared" si="11"/>
        <v/>
      </c>
      <c r="Y101" s="29" t="str">
        <f>HLOOKUP(Y$1,google_form!$1:$196,$A101,FALSE)</f>
        <v/>
      </c>
    </row>
    <row r="102">
      <c r="A102" s="29">
        <v>101.0</v>
      </c>
      <c r="B102" s="29" t="str">
        <f>HLOOKUP(B$1,google_form!$1:$216,$A102,FALSE)</f>
        <v/>
      </c>
      <c r="C102" s="29" t="str">
        <f>HLOOKUP(C$1,google_form!$1:$216,$A102,FALSE)</f>
        <v/>
      </c>
      <c r="D102" s="29" t="str">
        <f>HLOOKUP(D$1,google_form!$1:$216,$A102,FALSE)</f>
        <v/>
      </c>
      <c r="E102" s="29" t="str">
        <f>HLOOKUP(E$1,google_form!$1:$216,$A102,FALSE)</f>
        <v/>
      </c>
      <c r="F102" s="29" t="str">
        <f t="shared" ref="F102:G102" si="400">if(ISBLANK($C102), "", F$1)</f>
        <v/>
      </c>
      <c r="G102" s="29" t="str">
        <f t="shared" si="400"/>
        <v/>
      </c>
      <c r="H102" s="29" t="str">
        <f>HLOOKUP(H$1,google_form!$1:$196,$A102,FALSE)</f>
        <v/>
      </c>
      <c r="I102" s="29" t="str">
        <f t="shared" ref="I102:J102" si="401">if(ISBLANK($C102), "", I$1)</f>
        <v/>
      </c>
      <c r="J102" s="29" t="str">
        <f t="shared" si="401"/>
        <v/>
      </c>
      <c r="K102" s="29" t="str">
        <f>HLOOKUP(K$1,google_form!$1:$196,$A102,FALSE)</f>
        <v/>
      </c>
      <c r="L102" s="29" t="str">
        <f t="shared" ref="L102:M102" si="402">if(ISBLANK($C102), "", L$1)</f>
        <v/>
      </c>
      <c r="M102" s="29" t="str">
        <f t="shared" si="402"/>
        <v/>
      </c>
      <c r="N102" s="34" t="str">
        <f>HLOOKUP(N$1,google_form!$1:$196,$A102,FALSE)</f>
        <v/>
      </c>
      <c r="O102" s="29" t="str">
        <f t="shared" ref="O102:P102" si="403">if(ISBLANK($C102), "", O$1)</f>
        <v/>
      </c>
      <c r="P102" s="29" t="str">
        <f t="shared" si="403"/>
        <v/>
      </c>
      <c r="Q102" s="29" t="str">
        <f>HLOOKUP(Q$1,google_form!$1:$196,$A102,FALSE)</f>
        <v/>
      </c>
      <c r="R102" s="29" t="str">
        <f>HLOOKUP(R$1,google_form!$1:$196,$A102,FALSE)</f>
        <v/>
      </c>
      <c r="S102" s="29" t="str">
        <f>HLOOKUP(S$1,google_form!$1:$196,$A102,FALSE)</f>
        <v/>
      </c>
      <c r="T102" s="29" t="str">
        <f>HLOOKUP(T$1,google_form!$1:$196,$A102,FALSE)</f>
        <v/>
      </c>
      <c r="U102" s="29" t="str">
        <f>HLOOKUP(U$1,google_form!$1:$196,$A102,FALSE)</f>
        <v/>
      </c>
      <c r="V102" s="29" t="str">
        <f t="shared" si="10"/>
        <v/>
      </c>
      <c r="W102" s="29" t="str">
        <f>HLOOKUP(W$1,google_form!$1:$196,$A102,FALSE)</f>
        <v/>
      </c>
      <c r="X102" s="29" t="str">
        <f t="shared" si="11"/>
        <v/>
      </c>
      <c r="Y102" s="29" t="str">
        <f>HLOOKUP(Y$1,google_form!$1:$196,$A102,FALSE)</f>
        <v/>
      </c>
    </row>
    <row r="103">
      <c r="A103" s="29">
        <v>102.0</v>
      </c>
      <c r="B103" s="29" t="str">
        <f>HLOOKUP(B$1,google_form!$1:$216,$A103,FALSE)</f>
        <v/>
      </c>
      <c r="C103" s="29" t="str">
        <f>HLOOKUP(C$1,google_form!$1:$216,$A103,FALSE)</f>
        <v/>
      </c>
      <c r="D103" s="29" t="str">
        <f>HLOOKUP(D$1,google_form!$1:$216,$A103,FALSE)</f>
        <v/>
      </c>
      <c r="E103" s="29" t="str">
        <f>HLOOKUP(E$1,google_form!$1:$216,$A103,FALSE)</f>
        <v/>
      </c>
      <c r="F103" s="29" t="str">
        <f t="shared" ref="F103:G103" si="404">if(ISBLANK($C103), "", F$1)</f>
        <v/>
      </c>
      <c r="G103" s="29" t="str">
        <f t="shared" si="404"/>
        <v/>
      </c>
      <c r="H103" s="29" t="str">
        <f>HLOOKUP(H$1,google_form!$1:$196,$A103,FALSE)</f>
        <v/>
      </c>
      <c r="I103" s="29" t="str">
        <f t="shared" ref="I103:J103" si="405">if(ISBLANK($C103), "", I$1)</f>
        <v/>
      </c>
      <c r="J103" s="29" t="str">
        <f t="shared" si="405"/>
        <v/>
      </c>
      <c r="K103" s="29" t="str">
        <f>HLOOKUP(K$1,google_form!$1:$196,$A103,FALSE)</f>
        <v/>
      </c>
      <c r="L103" s="29" t="str">
        <f t="shared" ref="L103:M103" si="406">if(ISBLANK($C103), "", L$1)</f>
        <v/>
      </c>
      <c r="M103" s="29" t="str">
        <f t="shared" si="406"/>
        <v/>
      </c>
      <c r="N103" s="34" t="str">
        <f>HLOOKUP(N$1,google_form!$1:$196,$A103,FALSE)</f>
        <v/>
      </c>
      <c r="O103" s="29" t="str">
        <f t="shared" ref="O103:P103" si="407">if(ISBLANK($C103), "", O$1)</f>
        <v/>
      </c>
      <c r="P103" s="29" t="str">
        <f t="shared" si="407"/>
        <v/>
      </c>
      <c r="Q103" s="29" t="str">
        <f>HLOOKUP(Q$1,google_form!$1:$196,$A103,FALSE)</f>
        <v/>
      </c>
      <c r="R103" s="29" t="str">
        <f>HLOOKUP(R$1,google_form!$1:$196,$A103,FALSE)</f>
        <v/>
      </c>
      <c r="S103" s="29" t="str">
        <f>HLOOKUP(S$1,google_form!$1:$196,$A103,FALSE)</f>
        <v/>
      </c>
      <c r="T103" s="29" t="str">
        <f>HLOOKUP(T$1,google_form!$1:$196,$A103,FALSE)</f>
        <v/>
      </c>
      <c r="U103" s="29" t="str">
        <f>HLOOKUP(U$1,google_form!$1:$196,$A103,FALSE)</f>
        <v/>
      </c>
      <c r="V103" s="29" t="str">
        <f t="shared" si="10"/>
        <v/>
      </c>
      <c r="W103" s="29" t="str">
        <f>HLOOKUP(W$1,google_form!$1:$196,$A103,FALSE)</f>
        <v/>
      </c>
      <c r="X103" s="29" t="str">
        <f t="shared" si="11"/>
        <v/>
      </c>
      <c r="Y103" s="29" t="str">
        <f>HLOOKUP(Y$1,google_form!$1:$196,$A103,FALSE)</f>
        <v/>
      </c>
    </row>
    <row r="104">
      <c r="A104" s="29">
        <v>103.0</v>
      </c>
      <c r="B104" s="29" t="str">
        <f>HLOOKUP(B$1,google_form!$1:$216,$A104,FALSE)</f>
        <v/>
      </c>
      <c r="C104" s="29" t="str">
        <f>HLOOKUP(C$1,google_form!$1:$216,$A104,FALSE)</f>
        <v/>
      </c>
      <c r="D104" s="29" t="str">
        <f>HLOOKUP(D$1,google_form!$1:$216,$A104,FALSE)</f>
        <v/>
      </c>
      <c r="E104" s="29" t="str">
        <f>HLOOKUP(E$1,google_form!$1:$216,$A104,FALSE)</f>
        <v/>
      </c>
      <c r="F104" s="29" t="str">
        <f t="shared" ref="F104:G104" si="408">if(ISBLANK($C104), "", F$1)</f>
        <v/>
      </c>
      <c r="G104" s="29" t="str">
        <f t="shared" si="408"/>
        <v/>
      </c>
      <c r="H104" s="29" t="str">
        <f>HLOOKUP(H$1,google_form!$1:$196,$A104,FALSE)</f>
        <v/>
      </c>
      <c r="I104" s="29" t="str">
        <f t="shared" ref="I104:J104" si="409">if(ISBLANK($C104), "", I$1)</f>
        <v/>
      </c>
      <c r="J104" s="29" t="str">
        <f t="shared" si="409"/>
        <v/>
      </c>
      <c r="K104" s="29" t="str">
        <f>HLOOKUP(K$1,google_form!$1:$196,$A104,FALSE)</f>
        <v/>
      </c>
      <c r="L104" s="29" t="str">
        <f t="shared" ref="L104:M104" si="410">if(ISBLANK($C104), "", L$1)</f>
        <v/>
      </c>
      <c r="M104" s="29" t="str">
        <f t="shared" si="410"/>
        <v/>
      </c>
      <c r="N104" s="34" t="str">
        <f>HLOOKUP(N$1,google_form!$1:$196,$A104,FALSE)</f>
        <v/>
      </c>
      <c r="O104" s="29" t="str">
        <f t="shared" ref="O104:P104" si="411">if(ISBLANK($C104), "", O$1)</f>
        <v/>
      </c>
      <c r="P104" s="29" t="str">
        <f t="shared" si="411"/>
        <v/>
      </c>
      <c r="Q104" s="29" t="str">
        <f>HLOOKUP(Q$1,google_form!$1:$196,$A104,FALSE)</f>
        <v/>
      </c>
      <c r="R104" s="29" t="str">
        <f>HLOOKUP(R$1,google_form!$1:$196,$A104,FALSE)</f>
        <v/>
      </c>
      <c r="S104" s="29" t="str">
        <f>HLOOKUP(S$1,google_form!$1:$196,$A104,FALSE)</f>
        <v/>
      </c>
      <c r="T104" s="29" t="str">
        <f>HLOOKUP(T$1,google_form!$1:$196,$A104,FALSE)</f>
        <v/>
      </c>
      <c r="U104" s="29" t="str">
        <f>HLOOKUP(U$1,google_form!$1:$196,$A104,FALSE)</f>
        <v/>
      </c>
      <c r="V104" s="29" t="str">
        <f t="shared" si="10"/>
        <v/>
      </c>
      <c r="W104" s="29" t="str">
        <f>HLOOKUP(W$1,google_form!$1:$196,$A104,FALSE)</f>
        <v/>
      </c>
      <c r="X104" s="29" t="str">
        <f t="shared" si="11"/>
        <v/>
      </c>
      <c r="Y104" s="29" t="str">
        <f>HLOOKUP(Y$1,google_form!$1:$196,$A104,FALSE)</f>
        <v/>
      </c>
    </row>
    <row r="105">
      <c r="A105" s="29">
        <v>104.0</v>
      </c>
      <c r="B105" s="29" t="str">
        <f>HLOOKUP(B$1,google_form!$1:$216,$A105,FALSE)</f>
        <v/>
      </c>
      <c r="C105" s="29" t="str">
        <f>HLOOKUP(C$1,google_form!$1:$216,$A105,FALSE)</f>
        <v/>
      </c>
      <c r="D105" s="29" t="str">
        <f>HLOOKUP(D$1,google_form!$1:$216,$A105,FALSE)</f>
        <v/>
      </c>
      <c r="E105" s="29" t="str">
        <f>HLOOKUP(E$1,google_form!$1:$216,$A105,FALSE)</f>
        <v/>
      </c>
      <c r="F105" s="29" t="str">
        <f t="shared" ref="F105:G105" si="412">if(ISBLANK($C105), "", F$1)</f>
        <v/>
      </c>
      <c r="G105" s="29" t="str">
        <f t="shared" si="412"/>
        <v/>
      </c>
      <c r="H105" s="29" t="str">
        <f>HLOOKUP(H$1,google_form!$1:$196,$A105,FALSE)</f>
        <v/>
      </c>
      <c r="I105" s="29" t="str">
        <f t="shared" ref="I105:J105" si="413">if(ISBLANK($C105), "", I$1)</f>
        <v/>
      </c>
      <c r="J105" s="29" t="str">
        <f t="shared" si="413"/>
        <v/>
      </c>
      <c r="K105" s="29" t="str">
        <f>HLOOKUP(K$1,google_form!$1:$196,$A105,FALSE)</f>
        <v/>
      </c>
      <c r="L105" s="29" t="str">
        <f t="shared" ref="L105:M105" si="414">if(ISBLANK($C105), "", L$1)</f>
        <v/>
      </c>
      <c r="M105" s="29" t="str">
        <f t="shared" si="414"/>
        <v/>
      </c>
      <c r="N105" s="34" t="str">
        <f>HLOOKUP(N$1,google_form!$1:$196,$A105,FALSE)</f>
        <v/>
      </c>
      <c r="O105" s="29" t="str">
        <f t="shared" ref="O105:P105" si="415">if(ISBLANK($C105), "", O$1)</f>
        <v/>
      </c>
      <c r="P105" s="29" t="str">
        <f t="shared" si="415"/>
        <v/>
      </c>
      <c r="Q105" s="29" t="str">
        <f>HLOOKUP(Q$1,google_form!$1:$196,$A105,FALSE)</f>
        <v/>
      </c>
      <c r="R105" s="29" t="str">
        <f>HLOOKUP(R$1,google_form!$1:$196,$A105,FALSE)</f>
        <v/>
      </c>
      <c r="S105" s="29" t="str">
        <f>HLOOKUP(S$1,google_form!$1:$196,$A105,FALSE)</f>
        <v/>
      </c>
      <c r="T105" s="29" t="str">
        <f>HLOOKUP(T$1,google_form!$1:$196,$A105,FALSE)</f>
        <v/>
      </c>
      <c r="U105" s="29" t="str">
        <f>HLOOKUP(U$1,google_form!$1:$196,$A105,FALSE)</f>
        <v/>
      </c>
      <c r="V105" s="29" t="str">
        <f t="shared" si="10"/>
        <v/>
      </c>
      <c r="W105" s="29" t="str">
        <f>HLOOKUP(W$1,google_form!$1:$196,$A105,FALSE)</f>
        <v/>
      </c>
      <c r="X105" s="29" t="str">
        <f t="shared" si="11"/>
        <v/>
      </c>
      <c r="Y105" s="29" t="str">
        <f>HLOOKUP(Y$1,google_form!$1:$196,$A105,FALSE)</f>
        <v/>
      </c>
    </row>
    <row r="106">
      <c r="A106" s="29">
        <v>105.0</v>
      </c>
      <c r="B106" s="29" t="str">
        <f>HLOOKUP(B$1,google_form!$1:$216,$A106,FALSE)</f>
        <v/>
      </c>
      <c r="C106" s="29" t="str">
        <f>HLOOKUP(C$1,google_form!$1:$216,$A106,FALSE)</f>
        <v/>
      </c>
      <c r="D106" s="29" t="str">
        <f>HLOOKUP(D$1,google_form!$1:$216,$A106,FALSE)</f>
        <v/>
      </c>
      <c r="E106" s="29" t="str">
        <f>HLOOKUP(E$1,google_form!$1:$216,$A106,FALSE)</f>
        <v/>
      </c>
      <c r="F106" s="29" t="str">
        <f t="shared" ref="F106:G106" si="416">if(ISBLANK($C106), "", F$1)</f>
        <v/>
      </c>
      <c r="G106" s="29" t="str">
        <f t="shared" si="416"/>
        <v/>
      </c>
      <c r="H106" s="29" t="str">
        <f>HLOOKUP(H$1,google_form!$1:$196,$A106,FALSE)</f>
        <v/>
      </c>
      <c r="I106" s="29" t="str">
        <f t="shared" ref="I106:J106" si="417">if(ISBLANK($C106), "", I$1)</f>
        <v/>
      </c>
      <c r="J106" s="29" t="str">
        <f t="shared" si="417"/>
        <v/>
      </c>
      <c r="K106" s="29" t="str">
        <f>HLOOKUP(K$1,google_form!$1:$196,$A106,FALSE)</f>
        <v/>
      </c>
      <c r="L106" s="29" t="str">
        <f t="shared" ref="L106:M106" si="418">if(ISBLANK($C106), "", L$1)</f>
        <v/>
      </c>
      <c r="M106" s="29" t="str">
        <f t="shared" si="418"/>
        <v/>
      </c>
      <c r="N106" s="34" t="str">
        <f>HLOOKUP(N$1,google_form!$1:$196,$A106,FALSE)</f>
        <v/>
      </c>
      <c r="O106" s="29" t="str">
        <f t="shared" ref="O106:P106" si="419">if(ISBLANK($C106), "", O$1)</f>
        <v/>
      </c>
      <c r="P106" s="29" t="str">
        <f t="shared" si="419"/>
        <v/>
      </c>
      <c r="Q106" s="29" t="str">
        <f>HLOOKUP(Q$1,google_form!$1:$196,$A106,FALSE)</f>
        <v/>
      </c>
      <c r="R106" s="29" t="str">
        <f>HLOOKUP(R$1,google_form!$1:$196,$A106,FALSE)</f>
        <v/>
      </c>
      <c r="S106" s="29" t="str">
        <f>HLOOKUP(S$1,google_form!$1:$196,$A106,FALSE)</f>
        <v/>
      </c>
      <c r="T106" s="29" t="str">
        <f>HLOOKUP(T$1,google_form!$1:$196,$A106,FALSE)</f>
        <v/>
      </c>
      <c r="U106" s="29" t="str">
        <f>HLOOKUP(U$1,google_form!$1:$196,$A106,FALSE)</f>
        <v/>
      </c>
      <c r="V106" s="29" t="str">
        <f t="shared" si="10"/>
        <v/>
      </c>
      <c r="W106" s="29" t="str">
        <f>HLOOKUP(W$1,google_form!$1:$196,$A106,FALSE)</f>
        <v/>
      </c>
      <c r="X106" s="29" t="str">
        <f t="shared" si="11"/>
        <v/>
      </c>
      <c r="Y106" s="29" t="str">
        <f>HLOOKUP(Y$1,google_form!$1:$196,$A106,FALSE)</f>
        <v/>
      </c>
    </row>
    <row r="107">
      <c r="A107" s="29">
        <v>106.0</v>
      </c>
      <c r="B107" s="29" t="str">
        <f>HLOOKUP(B$1,google_form!$1:$216,$A107,FALSE)</f>
        <v/>
      </c>
      <c r="C107" s="29" t="str">
        <f>HLOOKUP(C$1,google_form!$1:$216,$A107,FALSE)</f>
        <v/>
      </c>
      <c r="D107" s="29" t="str">
        <f>HLOOKUP(D$1,google_form!$1:$216,$A107,FALSE)</f>
        <v/>
      </c>
      <c r="E107" s="29" t="str">
        <f>HLOOKUP(E$1,google_form!$1:$216,$A107,FALSE)</f>
        <v/>
      </c>
      <c r="F107" s="29" t="str">
        <f t="shared" ref="F107:G107" si="420">if(ISBLANK($C107), "", F$1)</f>
        <v/>
      </c>
      <c r="G107" s="29" t="str">
        <f t="shared" si="420"/>
        <v/>
      </c>
      <c r="H107" s="29" t="str">
        <f>HLOOKUP(H$1,google_form!$1:$196,$A107,FALSE)</f>
        <v/>
      </c>
      <c r="I107" s="29" t="str">
        <f t="shared" ref="I107:J107" si="421">if(ISBLANK($C107), "", I$1)</f>
        <v/>
      </c>
      <c r="J107" s="29" t="str">
        <f t="shared" si="421"/>
        <v/>
      </c>
      <c r="K107" s="29" t="str">
        <f>HLOOKUP(K$1,google_form!$1:$196,$A107,FALSE)</f>
        <v/>
      </c>
      <c r="L107" s="29" t="str">
        <f t="shared" ref="L107:M107" si="422">if(ISBLANK($C107), "", L$1)</f>
        <v/>
      </c>
      <c r="M107" s="29" t="str">
        <f t="shared" si="422"/>
        <v/>
      </c>
      <c r="N107" s="34" t="str">
        <f>HLOOKUP(N$1,google_form!$1:$196,$A107,FALSE)</f>
        <v/>
      </c>
      <c r="O107" s="29" t="str">
        <f t="shared" ref="O107:P107" si="423">if(ISBLANK($C107), "", O$1)</f>
        <v/>
      </c>
      <c r="P107" s="29" t="str">
        <f t="shared" si="423"/>
        <v/>
      </c>
      <c r="Q107" s="29" t="str">
        <f>HLOOKUP(Q$1,google_form!$1:$196,$A107,FALSE)</f>
        <v/>
      </c>
      <c r="R107" s="29" t="str">
        <f>HLOOKUP(R$1,google_form!$1:$196,$A107,FALSE)</f>
        <v/>
      </c>
      <c r="S107" s="29" t="str">
        <f>HLOOKUP(S$1,google_form!$1:$196,$A107,FALSE)</f>
        <v/>
      </c>
      <c r="T107" s="29" t="str">
        <f>HLOOKUP(T$1,google_form!$1:$196,$A107,FALSE)</f>
        <v/>
      </c>
      <c r="U107" s="29" t="str">
        <f>HLOOKUP(U$1,google_form!$1:$196,$A107,FALSE)</f>
        <v/>
      </c>
      <c r="V107" s="29" t="str">
        <f t="shared" si="10"/>
        <v/>
      </c>
      <c r="W107" s="29" t="str">
        <f>HLOOKUP(W$1,google_form!$1:$196,$A107,FALSE)</f>
        <v/>
      </c>
      <c r="X107" s="29" t="str">
        <f t="shared" si="11"/>
        <v/>
      </c>
      <c r="Y107" s="29" t="str">
        <f>HLOOKUP(Y$1,google_form!$1:$196,$A107,FALSE)</f>
        <v/>
      </c>
    </row>
    <row r="108">
      <c r="A108" s="29">
        <v>107.0</v>
      </c>
      <c r="B108" s="29" t="str">
        <f>HLOOKUP(B$1,google_form!$1:$216,$A108,FALSE)</f>
        <v/>
      </c>
      <c r="C108" s="29" t="str">
        <f>HLOOKUP(C$1,google_form!$1:$216,$A108,FALSE)</f>
        <v/>
      </c>
      <c r="D108" s="29" t="str">
        <f>HLOOKUP(D$1,google_form!$1:$216,$A108,FALSE)</f>
        <v/>
      </c>
      <c r="E108" s="29" t="str">
        <f>HLOOKUP(E$1,google_form!$1:$216,$A108,FALSE)</f>
        <v/>
      </c>
      <c r="F108" s="29" t="str">
        <f t="shared" ref="F108:G108" si="424">if(ISBLANK($C108), "", F$1)</f>
        <v/>
      </c>
      <c r="G108" s="29" t="str">
        <f t="shared" si="424"/>
        <v/>
      </c>
      <c r="H108" s="29" t="str">
        <f>HLOOKUP(H$1,google_form!$1:$196,$A108,FALSE)</f>
        <v/>
      </c>
      <c r="I108" s="29" t="str">
        <f t="shared" ref="I108:J108" si="425">if(ISBLANK($C108), "", I$1)</f>
        <v/>
      </c>
      <c r="J108" s="29" t="str">
        <f t="shared" si="425"/>
        <v/>
      </c>
      <c r="K108" s="29" t="str">
        <f>HLOOKUP(K$1,google_form!$1:$196,$A108,FALSE)</f>
        <v/>
      </c>
      <c r="L108" s="29" t="str">
        <f t="shared" ref="L108:M108" si="426">if(ISBLANK($C108), "", L$1)</f>
        <v/>
      </c>
      <c r="M108" s="29" t="str">
        <f t="shared" si="426"/>
        <v/>
      </c>
      <c r="N108" s="34" t="str">
        <f>HLOOKUP(N$1,google_form!$1:$196,$A108,FALSE)</f>
        <v/>
      </c>
      <c r="O108" s="29" t="str">
        <f t="shared" ref="O108:P108" si="427">if(ISBLANK($C108), "", O$1)</f>
        <v/>
      </c>
      <c r="P108" s="29" t="str">
        <f t="shared" si="427"/>
        <v/>
      </c>
      <c r="Q108" s="29" t="str">
        <f>HLOOKUP(Q$1,google_form!$1:$196,$A108,FALSE)</f>
        <v/>
      </c>
      <c r="R108" s="29" t="str">
        <f>HLOOKUP(R$1,google_form!$1:$196,$A108,FALSE)</f>
        <v/>
      </c>
      <c r="S108" s="29" t="str">
        <f>HLOOKUP(S$1,google_form!$1:$196,$A108,FALSE)</f>
        <v/>
      </c>
      <c r="T108" s="29" t="str">
        <f>HLOOKUP(T$1,google_form!$1:$196,$A108,FALSE)</f>
        <v/>
      </c>
      <c r="U108" s="29" t="str">
        <f>HLOOKUP(U$1,google_form!$1:$196,$A108,FALSE)</f>
        <v/>
      </c>
      <c r="V108" s="29" t="str">
        <f t="shared" si="10"/>
        <v/>
      </c>
      <c r="W108" s="29" t="str">
        <f>HLOOKUP(W$1,google_form!$1:$196,$A108,FALSE)</f>
        <v/>
      </c>
      <c r="X108" s="29" t="str">
        <f t="shared" si="11"/>
        <v/>
      </c>
      <c r="Y108" s="29" t="str">
        <f>HLOOKUP(Y$1,google_form!$1:$196,$A108,FALSE)</f>
        <v/>
      </c>
    </row>
    <row r="109">
      <c r="A109" s="29">
        <v>108.0</v>
      </c>
      <c r="B109" s="29" t="str">
        <f>HLOOKUP(B$1,google_form!$1:$216,$A109,FALSE)</f>
        <v/>
      </c>
      <c r="C109" s="29" t="str">
        <f>HLOOKUP(C$1,google_form!$1:$216,$A109,FALSE)</f>
        <v/>
      </c>
      <c r="D109" s="29" t="str">
        <f>HLOOKUP(D$1,google_form!$1:$216,$A109,FALSE)</f>
        <v/>
      </c>
      <c r="E109" s="29" t="str">
        <f>HLOOKUP(E$1,google_form!$1:$216,$A109,FALSE)</f>
        <v/>
      </c>
      <c r="F109" s="29" t="str">
        <f t="shared" ref="F109:G109" si="428">if(ISBLANK($C109), "", F$1)</f>
        <v/>
      </c>
      <c r="G109" s="29" t="str">
        <f t="shared" si="428"/>
        <v/>
      </c>
      <c r="H109" s="29" t="str">
        <f>HLOOKUP(H$1,google_form!$1:$196,$A109,FALSE)</f>
        <v/>
      </c>
      <c r="I109" s="29" t="str">
        <f t="shared" ref="I109:J109" si="429">if(ISBLANK($C109), "", I$1)</f>
        <v/>
      </c>
      <c r="J109" s="29" t="str">
        <f t="shared" si="429"/>
        <v/>
      </c>
      <c r="K109" s="29" t="str">
        <f>HLOOKUP(K$1,google_form!$1:$196,$A109,FALSE)</f>
        <v/>
      </c>
      <c r="L109" s="29" t="str">
        <f t="shared" ref="L109:M109" si="430">if(ISBLANK($C109), "", L$1)</f>
        <v/>
      </c>
      <c r="M109" s="29" t="str">
        <f t="shared" si="430"/>
        <v/>
      </c>
      <c r="N109" s="34" t="str">
        <f>HLOOKUP(N$1,google_form!$1:$196,$A109,FALSE)</f>
        <v/>
      </c>
      <c r="O109" s="29" t="str">
        <f t="shared" ref="O109:P109" si="431">if(ISBLANK($C109), "", O$1)</f>
        <v/>
      </c>
      <c r="P109" s="29" t="str">
        <f t="shared" si="431"/>
        <v/>
      </c>
      <c r="Q109" s="29" t="str">
        <f>HLOOKUP(Q$1,google_form!$1:$196,$A109,FALSE)</f>
        <v/>
      </c>
      <c r="R109" s="29" t="str">
        <f>HLOOKUP(R$1,google_form!$1:$196,$A109,FALSE)</f>
        <v/>
      </c>
      <c r="S109" s="29" t="str">
        <f>HLOOKUP(S$1,google_form!$1:$196,$A109,FALSE)</f>
        <v/>
      </c>
      <c r="T109" s="29" t="str">
        <f>HLOOKUP(T$1,google_form!$1:$196,$A109,FALSE)</f>
        <v/>
      </c>
      <c r="U109" s="29" t="str">
        <f>HLOOKUP(U$1,google_form!$1:$196,$A109,FALSE)</f>
        <v/>
      </c>
      <c r="V109" s="29" t="str">
        <f t="shared" si="10"/>
        <v/>
      </c>
      <c r="W109" s="29" t="str">
        <f>HLOOKUP(W$1,google_form!$1:$196,$A109,FALSE)</f>
        <v/>
      </c>
      <c r="X109" s="29" t="str">
        <f t="shared" si="11"/>
        <v/>
      </c>
      <c r="Y109" s="29" t="str">
        <f>HLOOKUP(Y$1,google_form!$1:$196,$A109,FALSE)</f>
        <v/>
      </c>
    </row>
    <row r="110">
      <c r="A110" s="29">
        <v>109.0</v>
      </c>
      <c r="B110" s="29" t="str">
        <f>HLOOKUP(B$1,google_form!$1:$216,$A110,FALSE)</f>
        <v/>
      </c>
      <c r="C110" s="29" t="str">
        <f>HLOOKUP(C$1,google_form!$1:$216,$A110,FALSE)</f>
        <v/>
      </c>
      <c r="D110" s="29" t="str">
        <f>HLOOKUP(D$1,google_form!$1:$216,$A110,FALSE)</f>
        <v/>
      </c>
      <c r="E110" s="29" t="str">
        <f>HLOOKUP(E$1,google_form!$1:$216,$A110,FALSE)</f>
        <v/>
      </c>
      <c r="F110" s="29" t="str">
        <f t="shared" ref="F110:G110" si="432">if(ISBLANK($C110), "", F$1)</f>
        <v/>
      </c>
      <c r="G110" s="29" t="str">
        <f t="shared" si="432"/>
        <v/>
      </c>
      <c r="H110" s="29" t="str">
        <f>HLOOKUP(H$1,google_form!$1:$196,$A110,FALSE)</f>
        <v/>
      </c>
      <c r="I110" s="29" t="str">
        <f t="shared" ref="I110:J110" si="433">if(ISBLANK($C110), "", I$1)</f>
        <v/>
      </c>
      <c r="J110" s="29" t="str">
        <f t="shared" si="433"/>
        <v/>
      </c>
      <c r="K110" s="29" t="str">
        <f>HLOOKUP(K$1,google_form!$1:$196,$A110,FALSE)</f>
        <v/>
      </c>
      <c r="L110" s="29" t="str">
        <f t="shared" ref="L110:M110" si="434">if(ISBLANK($C110), "", L$1)</f>
        <v/>
      </c>
      <c r="M110" s="29" t="str">
        <f t="shared" si="434"/>
        <v/>
      </c>
      <c r="N110" s="34" t="str">
        <f>HLOOKUP(N$1,google_form!$1:$196,$A110,FALSE)</f>
        <v/>
      </c>
      <c r="O110" s="29" t="str">
        <f t="shared" ref="O110:P110" si="435">if(ISBLANK($C110), "", O$1)</f>
        <v/>
      </c>
      <c r="P110" s="29" t="str">
        <f t="shared" si="435"/>
        <v/>
      </c>
      <c r="Q110" s="29" t="str">
        <f>HLOOKUP(Q$1,google_form!$1:$196,$A110,FALSE)</f>
        <v/>
      </c>
      <c r="R110" s="29" t="str">
        <f>HLOOKUP(R$1,google_form!$1:$196,$A110,FALSE)</f>
        <v/>
      </c>
      <c r="S110" s="29" t="str">
        <f>HLOOKUP(S$1,google_form!$1:$196,$A110,FALSE)</f>
        <v/>
      </c>
      <c r="T110" s="29" t="str">
        <f>HLOOKUP(T$1,google_form!$1:$196,$A110,FALSE)</f>
        <v/>
      </c>
      <c r="U110" s="29" t="str">
        <f>HLOOKUP(U$1,google_form!$1:$196,$A110,FALSE)</f>
        <v/>
      </c>
      <c r="V110" s="29" t="str">
        <f t="shared" si="10"/>
        <v/>
      </c>
      <c r="W110" s="29" t="str">
        <f>HLOOKUP(W$1,google_form!$1:$196,$A110,FALSE)</f>
        <v/>
      </c>
      <c r="X110" s="29" t="str">
        <f t="shared" si="11"/>
        <v/>
      </c>
      <c r="Y110" s="29" t="str">
        <f>HLOOKUP(Y$1,google_form!$1:$196,$A110,FALSE)</f>
        <v/>
      </c>
    </row>
    <row r="111">
      <c r="A111" s="29">
        <v>110.0</v>
      </c>
      <c r="B111" s="29" t="str">
        <f>HLOOKUP(B$1,google_form!$1:$216,$A111,FALSE)</f>
        <v/>
      </c>
      <c r="C111" s="29" t="str">
        <f>HLOOKUP(C$1,google_form!$1:$216,$A111,FALSE)</f>
        <v/>
      </c>
      <c r="D111" s="29" t="str">
        <f>HLOOKUP(D$1,google_form!$1:$216,$A111,FALSE)</f>
        <v/>
      </c>
      <c r="E111" s="29" t="str">
        <f>HLOOKUP(E$1,google_form!$1:$216,$A111,FALSE)</f>
        <v/>
      </c>
      <c r="F111" s="29" t="str">
        <f t="shared" ref="F111:G111" si="436">if(ISBLANK($C111), "", F$1)</f>
        <v/>
      </c>
      <c r="G111" s="29" t="str">
        <f t="shared" si="436"/>
        <v/>
      </c>
      <c r="H111" s="29" t="str">
        <f>HLOOKUP(H$1,google_form!$1:$196,$A111,FALSE)</f>
        <v/>
      </c>
      <c r="I111" s="29" t="str">
        <f t="shared" ref="I111:J111" si="437">if(ISBLANK($C111), "", I$1)</f>
        <v/>
      </c>
      <c r="J111" s="29" t="str">
        <f t="shared" si="437"/>
        <v/>
      </c>
      <c r="K111" s="29" t="str">
        <f>HLOOKUP(K$1,google_form!$1:$196,$A111,FALSE)</f>
        <v/>
      </c>
      <c r="L111" s="29" t="str">
        <f t="shared" ref="L111:M111" si="438">if(ISBLANK($C111), "", L$1)</f>
        <v/>
      </c>
      <c r="M111" s="29" t="str">
        <f t="shared" si="438"/>
        <v/>
      </c>
      <c r="N111" s="34" t="str">
        <f>HLOOKUP(N$1,google_form!$1:$196,$A111,FALSE)</f>
        <v/>
      </c>
      <c r="O111" s="29" t="str">
        <f t="shared" ref="O111:P111" si="439">if(ISBLANK($C111), "", O$1)</f>
        <v/>
      </c>
      <c r="P111" s="29" t="str">
        <f t="shared" si="439"/>
        <v/>
      </c>
      <c r="Q111" s="29" t="str">
        <f>HLOOKUP(Q$1,google_form!$1:$196,$A111,FALSE)</f>
        <v/>
      </c>
      <c r="R111" s="29" t="str">
        <f>HLOOKUP(R$1,google_form!$1:$196,$A111,FALSE)</f>
        <v/>
      </c>
      <c r="S111" s="29" t="str">
        <f>HLOOKUP(S$1,google_form!$1:$196,$A111,FALSE)</f>
        <v/>
      </c>
      <c r="T111" s="29" t="str">
        <f>HLOOKUP(T$1,google_form!$1:$196,$A111,FALSE)</f>
        <v/>
      </c>
      <c r="U111" s="29" t="str">
        <f>HLOOKUP(U$1,google_form!$1:$196,$A111,FALSE)</f>
        <v/>
      </c>
      <c r="V111" s="29" t="str">
        <f t="shared" si="10"/>
        <v/>
      </c>
      <c r="W111" s="29" t="str">
        <f>HLOOKUP(W$1,google_form!$1:$196,$A111,FALSE)</f>
        <v/>
      </c>
      <c r="X111" s="29" t="str">
        <f t="shared" si="11"/>
        <v/>
      </c>
      <c r="Y111" s="29" t="str">
        <f>HLOOKUP(Y$1,google_form!$1:$196,$A111,FALSE)</f>
        <v/>
      </c>
    </row>
    <row r="112">
      <c r="A112" s="29">
        <v>111.0</v>
      </c>
      <c r="B112" s="29" t="str">
        <f>HLOOKUP(B$1,google_form!$1:$216,$A112,FALSE)</f>
        <v/>
      </c>
      <c r="C112" s="29" t="str">
        <f>HLOOKUP(C$1,google_form!$1:$216,$A112,FALSE)</f>
        <v/>
      </c>
      <c r="D112" s="29" t="str">
        <f>HLOOKUP(D$1,google_form!$1:$216,$A112,FALSE)</f>
        <v/>
      </c>
      <c r="E112" s="29" t="str">
        <f>HLOOKUP(E$1,google_form!$1:$216,$A112,FALSE)</f>
        <v/>
      </c>
      <c r="F112" s="29" t="str">
        <f t="shared" ref="F112:G112" si="440">if(ISBLANK($C112), "", F$1)</f>
        <v/>
      </c>
      <c r="G112" s="29" t="str">
        <f t="shared" si="440"/>
        <v/>
      </c>
      <c r="H112" s="29" t="str">
        <f>HLOOKUP(H$1,google_form!$1:$196,$A112,FALSE)</f>
        <v/>
      </c>
      <c r="I112" s="29" t="str">
        <f t="shared" ref="I112:J112" si="441">if(ISBLANK($C112), "", I$1)</f>
        <v/>
      </c>
      <c r="J112" s="29" t="str">
        <f t="shared" si="441"/>
        <v/>
      </c>
      <c r="K112" s="29" t="str">
        <f>HLOOKUP(K$1,google_form!$1:$196,$A112,FALSE)</f>
        <v/>
      </c>
      <c r="L112" s="29" t="str">
        <f t="shared" ref="L112:M112" si="442">if(ISBLANK($C112), "", L$1)</f>
        <v/>
      </c>
      <c r="M112" s="29" t="str">
        <f t="shared" si="442"/>
        <v/>
      </c>
      <c r="N112" s="34" t="str">
        <f>HLOOKUP(N$1,google_form!$1:$196,$A112,FALSE)</f>
        <v/>
      </c>
      <c r="O112" s="29" t="str">
        <f t="shared" ref="O112:P112" si="443">if(ISBLANK($C112), "", O$1)</f>
        <v/>
      </c>
      <c r="P112" s="29" t="str">
        <f t="shared" si="443"/>
        <v/>
      </c>
      <c r="Q112" s="29" t="str">
        <f>HLOOKUP(Q$1,google_form!$1:$196,$A112,FALSE)</f>
        <v/>
      </c>
      <c r="R112" s="29" t="str">
        <f>HLOOKUP(R$1,google_form!$1:$196,$A112,FALSE)</f>
        <v/>
      </c>
      <c r="S112" s="29" t="str">
        <f>HLOOKUP(S$1,google_form!$1:$196,$A112,FALSE)</f>
        <v/>
      </c>
      <c r="T112" s="29" t="str">
        <f>HLOOKUP(T$1,google_form!$1:$196,$A112,FALSE)</f>
        <v/>
      </c>
      <c r="U112" s="29" t="str">
        <f>HLOOKUP(U$1,google_form!$1:$196,$A112,FALSE)</f>
        <v/>
      </c>
      <c r="V112" s="29" t="str">
        <f t="shared" si="10"/>
        <v/>
      </c>
      <c r="W112" s="29" t="str">
        <f>HLOOKUP(W$1,google_form!$1:$196,$A112,FALSE)</f>
        <v/>
      </c>
      <c r="X112" s="29" t="str">
        <f t="shared" si="11"/>
        <v/>
      </c>
      <c r="Y112" s="29" t="str">
        <f>HLOOKUP(Y$1,google_form!$1:$196,$A112,FALSE)</f>
        <v/>
      </c>
    </row>
    <row r="113">
      <c r="A113" s="29">
        <v>112.0</v>
      </c>
      <c r="B113" s="29" t="str">
        <f>HLOOKUP(B$1,google_form!$1:$216,$A113,FALSE)</f>
        <v/>
      </c>
      <c r="C113" s="29" t="str">
        <f>HLOOKUP(C$1,google_form!$1:$216,$A113,FALSE)</f>
        <v/>
      </c>
      <c r="D113" s="29" t="str">
        <f>HLOOKUP(D$1,google_form!$1:$216,$A113,FALSE)</f>
        <v/>
      </c>
      <c r="E113" s="29" t="str">
        <f>HLOOKUP(E$1,google_form!$1:$216,$A113,FALSE)</f>
        <v/>
      </c>
      <c r="F113" s="29" t="str">
        <f t="shared" ref="F113:G113" si="444">if(ISBLANK($C113), "", F$1)</f>
        <v/>
      </c>
      <c r="G113" s="29" t="str">
        <f t="shared" si="444"/>
        <v/>
      </c>
      <c r="H113" s="29" t="str">
        <f>HLOOKUP(H$1,google_form!$1:$196,$A113,FALSE)</f>
        <v/>
      </c>
      <c r="I113" s="29" t="str">
        <f t="shared" ref="I113:J113" si="445">if(ISBLANK($C113), "", I$1)</f>
        <v/>
      </c>
      <c r="J113" s="29" t="str">
        <f t="shared" si="445"/>
        <v/>
      </c>
      <c r="K113" s="29" t="str">
        <f>HLOOKUP(K$1,google_form!$1:$196,$A113,FALSE)</f>
        <v/>
      </c>
      <c r="L113" s="29" t="str">
        <f t="shared" ref="L113:M113" si="446">if(ISBLANK($C113), "", L$1)</f>
        <v/>
      </c>
      <c r="M113" s="29" t="str">
        <f t="shared" si="446"/>
        <v/>
      </c>
      <c r="N113" s="34" t="str">
        <f>HLOOKUP(N$1,google_form!$1:$196,$A113,FALSE)</f>
        <v/>
      </c>
      <c r="O113" s="29" t="str">
        <f t="shared" ref="O113:P113" si="447">if(ISBLANK($C113), "", O$1)</f>
        <v/>
      </c>
      <c r="P113" s="29" t="str">
        <f t="shared" si="447"/>
        <v/>
      </c>
      <c r="Q113" s="29" t="str">
        <f>HLOOKUP(Q$1,google_form!$1:$196,$A113,FALSE)</f>
        <v/>
      </c>
      <c r="R113" s="29" t="str">
        <f>HLOOKUP(R$1,google_form!$1:$196,$A113,FALSE)</f>
        <v/>
      </c>
      <c r="S113" s="29" t="str">
        <f>HLOOKUP(S$1,google_form!$1:$196,$A113,FALSE)</f>
        <v/>
      </c>
      <c r="T113" s="29" t="str">
        <f>HLOOKUP(T$1,google_form!$1:$196,$A113,FALSE)</f>
        <v/>
      </c>
      <c r="U113" s="29" t="str">
        <f>HLOOKUP(U$1,google_form!$1:$196,$A113,FALSE)</f>
        <v/>
      </c>
      <c r="V113" s="29" t="str">
        <f t="shared" si="10"/>
        <v/>
      </c>
      <c r="W113" s="29" t="str">
        <f>HLOOKUP(W$1,google_form!$1:$196,$A113,FALSE)</f>
        <v/>
      </c>
      <c r="X113" s="29" t="str">
        <f t="shared" si="11"/>
        <v/>
      </c>
      <c r="Y113" s="29" t="str">
        <f>HLOOKUP(Y$1,google_form!$1:$196,$A113,FALSE)</f>
        <v/>
      </c>
    </row>
    <row r="114">
      <c r="A114" s="29">
        <v>113.0</v>
      </c>
      <c r="B114" s="29" t="str">
        <f>HLOOKUP(B$1,google_form!$1:$216,$A114,FALSE)</f>
        <v/>
      </c>
      <c r="C114" s="29" t="str">
        <f>HLOOKUP(C$1,google_form!$1:$216,$A114,FALSE)</f>
        <v/>
      </c>
      <c r="D114" s="29" t="str">
        <f>HLOOKUP(D$1,google_form!$1:$216,$A114,FALSE)</f>
        <v/>
      </c>
      <c r="E114" s="29" t="str">
        <f>HLOOKUP(E$1,google_form!$1:$216,$A114,FALSE)</f>
        <v/>
      </c>
      <c r="F114" s="29" t="str">
        <f t="shared" ref="F114:G114" si="448">if(ISBLANK($C114), "", F$1)</f>
        <v/>
      </c>
      <c r="G114" s="29" t="str">
        <f t="shared" si="448"/>
        <v/>
      </c>
      <c r="H114" s="29" t="str">
        <f>HLOOKUP(H$1,google_form!$1:$196,$A114,FALSE)</f>
        <v/>
      </c>
      <c r="I114" s="29" t="str">
        <f t="shared" ref="I114:J114" si="449">if(ISBLANK($C114), "", I$1)</f>
        <v/>
      </c>
      <c r="J114" s="29" t="str">
        <f t="shared" si="449"/>
        <v/>
      </c>
      <c r="K114" s="29" t="str">
        <f>HLOOKUP(K$1,google_form!$1:$196,$A114,FALSE)</f>
        <v/>
      </c>
      <c r="L114" s="29" t="str">
        <f t="shared" ref="L114:M114" si="450">if(ISBLANK($C114), "", L$1)</f>
        <v/>
      </c>
      <c r="M114" s="29" t="str">
        <f t="shared" si="450"/>
        <v/>
      </c>
      <c r="N114" s="34" t="str">
        <f>HLOOKUP(N$1,google_form!$1:$196,$A114,FALSE)</f>
        <v/>
      </c>
      <c r="O114" s="29" t="str">
        <f t="shared" ref="O114:P114" si="451">if(ISBLANK($C114), "", O$1)</f>
        <v/>
      </c>
      <c r="P114" s="29" t="str">
        <f t="shared" si="451"/>
        <v/>
      </c>
      <c r="Q114" s="29" t="str">
        <f>HLOOKUP(Q$1,google_form!$1:$196,$A114,FALSE)</f>
        <v/>
      </c>
      <c r="R114" s="29" t="str">
        <f>HLOOKUP(R$1,google_form!$1:$196,$A114,FALSE)</f>
        <v/>
      </c>
      <c r="S114" s="29" t="str">
        <f>HLOOKUP(S$1,google_form!$1:$196,$A114,FALSE)</f>
        <v/>
      </c>
      <c r="T114" s="29" t="str">
        <f>HLOOKUP(T$1,google_form!$1:$196,$A114,FALSE)</f>
        <v/>
      </c>
      <c r="U114" s="29" t="str">
        <f>HLOOKUP(U$1,google_form!$1:$196,$A114,FALSE)</f>
        <v/>
      </c>
      <c r="V114" s="29" t="str">
        <f t="shared" si="10"/>
        <v/>
      </c>
      <c r="W114" s="29" t="str">
        <f>HLOOKUP(W$1,google_form!$1:$196,$A114,FALSE)</f>
        <v/>
      </c>
      <c r="X114" s="29" t="str">
        <f t="shared" si="11"/>
        <v/>
      </c>
      <c r="Y114" s="29" t="str">
        <f>HLOOKUP(Y$1,google_form!$1:$196,$A114,FALSE)</f>
        <v/>
      </c>
    </row>
    <row r="115">
      <c r="A115" s="29">
        <v>114.0</v>
      </c>
      <c r="B115" s="29" t="str">
        <f>HLOOKUP(B$1,google_form!$1:$216,$A115,FALSE)</f>
        <v/>
      </c>
      <c r="C115" s="29" t="str">
        <f>HLOOKUP(C$1,google_form!$1:$216,$A115,FALSE)</f>
        <v/>
      </c>
      <c r="D115" s="29" t="str">
        <f>HLOOKUP(D$1,google_form!$1:$216,$A115,FALSE)</f>
        <v/>
      </c>
      <c r="E115" s="29" t="str">
        <f>HLOOKUP(E$1,google_form!$1:$216,$A115,FALSE)</f>
        <v/>
      </c>
      <c r="F115" s="29" t="str">
        <f t="shared" ref="F115:G115" si="452">if(ISBLANK($C115), "", F$1)</f>
        <v/>
      </c>
      <c r="G115" s="29" t="str">
        <f t="shared" si="452"/>
        <v/>
      </c>
      <c r="H115" s="29" t="str">
        <f>HLOOKUP(H$1,google_form!$1:$196,$A115,FALSE)</f>
        <v/>
      </c>
      <c r="I115" s="29" t="str">
        <f t="shared" ref="I115:J115" si="453">if(ISBLANK($C115), "", I$1)</f>
        <v/>
      </c>
      <c r="J115" s="29" t="str">
        <f t="shared" si="453"/>
        <v/>
      </c>
      <c r="K115" s="29" t="str">
        <f>HLOOKUP(K$1,google_form!$1:$196,$A115,FALSE)</f>
        <v/>
      </c>
      <c r="L115" s="29" t="str">
        <f t="shared" ref="L115:M115" si="454">if(ISBLANK($C115), "", L$1)</f>
        <v/>
      </c>
      <c r="M115" s="29" t="str">
        <f t="shared" si="454"/>
        <v/>
      </c>
      <c r="N115" s="34" t="str">
        <f>HLOOKUP(N$1,google_form!$1:$196,$A115,FALSE)</f>
        <v/>
      </c>
      <c r="O115" s="29" t="str">
        <f t="shared" ref="O115:P115" si="455">if(ISBLANK($C115), "", O$1)</f>
        <v/>
      </c>
      <c r="P115" s="29" t="str">
        <f t="shared" si="455"/>
        <v/>
      </c>
      <c r="Q115" s="29" t="str">
        <f>HLOOKUP(Q$1,google_form!$1:$196,$A115,FALSE)</f>
        <v/>
      </c>
      <c r="R115" s="29" t="str">
        <f>HLOOKUP(R$1,google_form!$1:$196,$A115,FALSE)</f>
        <v/>
      </c>
      <c r="S115" s="29" t="str">
        <f>HLOOKUP(S$1,google_form!$1:$196,$A115,FALSE)</f>
        <v/>
      </c>
      <c r="T115" s="29" t="str">
        <f>HLOOKUP(T$1,google_form!$1:$196,$A115,FALSE)</f>
        <v/>
      </c>
      <c r="U115" s="29" t="str">
        <f>HLOOKUP(U$1,google_form!$1:$196,$A115,FALSE)</f>
        <v/>
      </c>
      <c r="V115" s="29" t="str">
        <f t="shared" si="10"/>
        <v/>
      </c>
      <c r="W115" s="29" t="str">
        <f>HLOOKUP(W$1,google_form!$1:$196,$A115,FALSE)</f>
        <v/>
      </c>
      <c r="X115" s="29" t="str">
        <f t="shared" si="11"/>
        <v/>
      </c>
      <c r="Y115" s="29" t="str">
        <f>HLOOKUP(Y$1,google_form!$1:$196,$A115,FALSE)</f>
        <v/>
      </c>
    </row>
    <row r="116">
      <c r="A116" s="29">
        <v>115.0</v>
      </c>
      <c r="B116" s="29" t="str">
        <f>HLOOKUP(B$1,google_form!$1:$216,$A116,FALSE)</f>
        <v/>
      </c>
      <c r="C116" s="29" t="str">
        <f>HLOOKUP(C$1,google_form!$1:$216,$A116,FALSE)</f>
        <v/>
      </c>
      <c r="D116" s="29" t="str">
        <f>HLOOKUP(D$1,google_form!$1:$216,$A116,FALSE)</f>
        <v/>
      </c>
      <c r="E116" s="29" t="str">
        <f>HLOOKUP(E$1,google_form!$1:$216,$A116,FALSE)</f>
        <v/>
      </c>
      <c r="F116" s="29" t="str">
        <f t="shared" ref="F116:G116" si="456">if(ISBLANK($C116), "", F$1)</f>
        <v/>
      </c>
      <c r="G116" s="29" t="str">
        <f t="shared" si="456"/>
        <v/>
      </c>
      <c r="H116" s="29" t="str">
        <f>HLOOKUP(H$1,google_form!$1:$196,$A116,FALSE)</f>
        <v/>
      </c>
      <c r="I116" s="29" t="str">
        <f t="shared" ref="I116:J116" si="457">if(ISBLANK($C116), "", I$1)</f>
        <v/>
      </c>
      <c r="J116" s="29" t="str">
        <f t="shared" si="457"/>
        <v/>
      </c>
      <c r="K116" s="29" t="str">
        <f>HLOOKUP(K$1,google_form!$1:$196,$A116,FALSE)</f>
        <v/>
      </c>
      <c r="L116" s="29" t="str">
        <f t="shared" ref="L116:M116" si="458">if(ISBLANK($C116), "", L$1)</f>
        <v/>
      </c>
      <c r="M116" s="29" t="str">
        <f t="shared" si="458"/>
        <v/>
      </c>
      <c r="N116" s="34" t="str">
        <f>HLOOKUP(N$1,google_form!$1:$196,$A116,FALSE)</f>
        <v/>
      </c>
      <c r="O116" s="29" t="str">
        <f t="shared" ref="O116:P116" si="459">if(ISBLANK($C116), "", O$1)</f>
        <v/>
      </c>
      <c r="P116" s="29" t="str">
        <f t="shared" si="459"/>
        <v/>
      </c>
      <c r="Q116" s="29" t="str">
        <f>HLOOKUP(Q$1,google_form!$1:$196,$A116,FALSE)</f>
        <v/>
      </c>
      <c r="R116" s="29" t="str">
        <f>HLOOKUP(R$1,google_form!$1:$196,$A116,FALSE)</f>
        <v/>
      </c>
      <c r="S116" s="29" t="str">
        <f>HLOOKUP(S$1,google_form!$1:$196,$A116,FALSE)</f>
        <v/>
      </c>
      <c r="T116" s="29" t="str">
        <f>HLOOKUP(T$1,google_form!$1:$196,$A116,FALSE)</f>
        <v/>
      </c>
      <c r="U116" s="29" t="str">
        <f>HLOOKUP(U$1,google_form!$1:$196,$A116,FALSE)</f>
        <v/>
      </c>
      <c r="V116" s="29" t="str">
        <f t="shared" si="10"/>
        <v/>
      </c>
      <c r="W116" s="29" t="str">
        <f>HLOOKUP(W$1,google_form!$1:$196,$A116,FALSE)</f>
        <v/>
      </c>
      <c r="X116" s="29" t="str">
        <f t="shared" si="11"/>
        <v/>
      </c>
      <c r="Y116" s="29" t="str">
        <f>HLOOKUP(Y$1,google_form!$1:$196,$A116,FALSE)</f>
        <v/>
      </c>
    </row>
    <row r="117">
      <c r="A117" s="29">
        <v>116.0</v>
      </c>
      <c r="B117" s="29" t="str">
        <f>HLOOKUP(B$1,google_form!$1:$216,$A117,FALSE)</f>
        <v/>
      </c>
      <c r="C117" s="29" t="str">
        <f>HLOOKUP(C$1,google_form!$1:$216,$A117,FALSE)</f>
        <v/>
      </c>
      <c r="D117" s="29" t="str">
        <f>HLOOKUP(D$1,google_form!$1:$216,$A117,FALSE)</f>
        <v/>
      </c>
      <c r="E117" s="29" t="str">
        <f>HLOOKUP(E$1,google_form!$1:$216,$A117,FALSE)</f>
        <v/>
      </c>
      <c r="F117" s="29" t="str">
        <f t="shared" ref="F117:G117" si="460">if(ISBLANK($C117), "", F$1)</f>
        <v/>
      </c>
      <c r="G117" s="29" t="str">
        <f t="shared" si="460"/>
        <v/>
      </c>
      <c r="H117" s="29" t="str">
        <f>HLOOKUP(H$1,google_form!$1:$196,$A117,FALSE)</f>
        <v/>
      </c>
      <c r="I117" s="29" t="str">
        <f t="shared" ref="I117:J117" si="461">if(ISBLANK($C117), "", I$1)</f>
        <v/>
      </c>
      <c r="J117" s="29" t="str">
        <f t="shared" si="461"/>
        <v/>
      </c>
      <c r="K117" s="29" t="str">
        <f>HLOOKUP(K$1,google_form!$1:$196,$A117,FALSE)</f>
        <v/>
      </c>
      <c r="L117" s="29" t="str">
        <f t="shared" ref="L117:M117" si="462">if(ISBLANK($C117), "", L$1)</f>
        <v/>
      </c>
      <c r="M117" s="29" t="str">
        <f t="shared" si="462"/>
        <v/>
      </c>
      <c r="N117" s="34" t="str">
        <f>HLOOKUP(N$1,google_form!$1:$196,$A117,FALSE)</f>
        <v/>
      </c>
      <c r="O117" s="29" t="str">
        <f t="shared" ref="O117:P117" si="463">if(ISBLANK($C117), "", O$1)</f>
        <v/>
      </c>
      <c r="P117" s="29" t="str">
        <f t="shared" si="463"/>
        <v/>
      </c>
      <c r="Q117" s="29" t="str">
        <f>HLOOKUP(Q$1,google_form!$1:$196,$A117,FALSE)</f>
        <v/>
      </c>
      <c r="R117" s="29" t="str">
        <f>HLOOKUP(R$1,google_form!$1:$196,$A117,FALSE)</f>
        <v/>
      </c>
      <c r="S117" s="29" t="str">
        <f>HLOOKUP(S$1,google_form!$1:$196,$A117,FALSE)</f>
        <v/>
      </c>
      <c r="T117" s="29" t="str">
        <f>HLOOKUP(T$1,google_form!$1:$196,$A117,FALSE)</f>
        <v/>
      </c>
      <c r="U117" s="29" t="str">
        <f>HLOOKUP(U$1,google_form!$1:$196,$A117,FALSE)</f>
        <v/>
      </c>
      <c r="V117" s="29" t="str">
        <f t="shared" si="10"/>
        <v/>
      </c>
      <c r="W117" s="29" t="str">
        <f>HLOOKUP(W$1,google_form!$1:$196,$A117,FALSE)</f>
        <v/>
      </c>
      <c r="X117" s="29" t="str">
        <f t="shared" si="11"/>
        <v/>
      </c>
      <c r="Y117" s="29" t="str">
        <f>HLOOKUP(Y$1,google_form!$1:$196,$A117,FALSE)</f>
        <v/>
      </c>
    </row>
    <row r="118">
      <c r="A118" s="29">
        <v>117.0</v>
      </c>
      <c r="B118" s="29" t="str">
        <f>HLOOKUP(B$1,google_form!$1:$216,$A118,FALSE)</f>
        <v/>
      </c>
      <c r="C118" s="29" t="str">
        <f>HLOOKUP(C$1,google_form!$1:$216,$A118,FALSE)</f>
        <v/>
      </c>
      <c r="D118" s="29" t="str">
        <f>HLOOKUP(D$1,google_form!$1:$216,$A118,FALSE)</f>
        <v/>
      </c>
      <c r="E118" s="29" t="str">
        <f>HLOOKUP(E$1,google_form!$1:$216,$A118,FALSE)</f>
        <v/>
      </c>
      <c r="F118" s="29" t="str">
        <f t="shared" ref="F118:G118" si="464">if(ISBLANK($C118), "", F$1)</f>
        <v/>
      </c>
      <c r="G118" s="29" t="str">
        <f t="shared" si="464"/>
        <v/>
      </c>
      <c r="H118" s="29" t="str">
        <f>HLOOKUP(H$1,google_form!$1:$196,$A118,FALSE)</f>
        <v/>
      </c>
      <c r="I118" s="29" t="str">
        <f t="shared" ref="I118:J118" si="465">if(ISBLANK($C118), "", I$1)</f>
        <v/>
      </c>
      <c r="J118" s="29" t="str">
        <f t="shared" si="465"/>
        <v/>
      </c>
      <c r="K118" s="29" t="str">
        <f>HLOOKUP(K$1,google_form!$1:$196,$A118,FALSE)</f>
        <v/>
      </c>
      <c r="L118" s="29" t="str">
        <f t="shared" ref="L118:M118" si="466">if(ISBLANK($C118), "", L$1)</f>
        <v/>
      </c>
      <c r="M118" s="29" t="str">
        <f t="shared" si="466"/>
        <v/>
      </c>
      <c r="N118" s="34" t="str">
        <f>HLOOKUP(N$1,google_form!$1:$196,$A118,FALSE)</f>
        <v/>
      </c>
      <c r="O118" s="29" t="str">
        <f t="shared" ref="O118:P118" si="467">if(ISBLANK($C118), "", O$1)</f>
        <v/>
      </c>
      <c r="P118" s="29" t="str">
        <f t="shared" si="467"/>
        <v/>
      </c>
      <c r="Q118" s="29" t="str">
        <f>HLOOKUP(Q$1,google_form!$1:$196,$A118,FALSE)</f>
        <v/>
      </c>
      <c r="R118" s="29" t="str">
        <f>HLOOKUP(R$1,google_form!$1:$196,$A118,FALSE)</f>
        <v/>
      </c>
      <c r="S118" s="29" t="str">
        <f>HLOOKUP(S$1,google_form!$1:$196,$A118,FALSE)</f>
        <v/>
      </c>
      <c r="T118" s="29" t="str">
        <f>HLOOKUP(T$1,google_form!$1:$196,$A118,FALSE)</f>
        <v/>
      </c>
      <c r="U118" s="29" t="str">
        <f>HLOOKUP(U$1,google_form!$1:$196,$A118,FALSE)</f>
        <v/>
      </c>
      <c r="V118" s="29" t="str">
        <f t="shared" si="10"/>
        <v/>
      </c>
      <c r="W118" s="29" t="str">
        <f>HLOOKUP(W$1,google_form!$1:$196,$A118,FALSE)</f>
        <v/>
      </c>
      <c r="X118" s="29" t="str">
        <f t="shared" si="11"/>
        <v/>
      </c>
      <c r="Y118" s="29" t="str">
        <f>HLOOKUP(Y$1,google_form!$1:$196,$A118,FALSE)</f>
        <v/>
      </c>
    </row>
    <row r="119">
      <c r="A119" s="29">
        <v>118.0</v>
      </c>
      <c r="B119" s="29" t="str">
        <f>HLOOKUP(B$1,google_form!$1:$216,$A119,FALSE)</f>
        <v/>
      </c>
      <c r="C119" s="29" t="str">
        <f>HLOOKUP(C$1,google_form!$1:$216,$A119,FALSE)</f>
        <v/>
      </c>
      <c r="D119" s="29" t="str">
        <f>HLOOKUP(D$1,google_form!$1:$216,$A119,FALSE)</f>
        <v/>
      </c>
      <c r="E119" s="29" t="str">
        <f>HLOOKUP(E$1,google_form!$1:$216,$A119,FALSE)</f>
        <v/>
      </c>
      <c r="F119" s="29" t="str">
        <f t="shared" ref="F119:G119" si="468">if(ISBLANK($C119), "", F$1)</f>
        <v/>
      </c>
      <c r="G119" s="29" t="str">
        <f t="shared" si="468"/>
        <v/>
      </c>
      <c r="H119" s="29" t="str">
        <f>HLOOKUP(H$1,google_form!$1:$196,$A119,FALSE)</f>
        <v/>
      </c>
      <c r="I119" s="29" t="str">
        <f t="shared" ref="I119:J119" si="469">if(ISBLANK($C119), "", I$1)</f>
        <v/>
      </c>
      <c r="J119" s="29" t="str">
        <f t="shared" si="469"/>
        <v/>
      </c>
      <c r="K119" s="29" t="str">
        <f>HLOOKUP(K$1,google_form!$1:$196,$A119,FALSE)</f>
        <v/>
      </c>
      <c r="L119" s="29" t="str">
        <f t="shared" ref="L119:M119" si="470">if(ISBLANK($C119), "", L$1)</f>
        <v/>
      </c>
      <c r="M119" s="29" t="str">
        <f t="shared" si="470"/>
        <v/>
      </c>
      <c r="N119" s="34" t="str">
        <f>HLOOKUP(N$1,google_form!$1:$196,$A119,FALSE)</f>
        <v/>
      </c>
      <c r="O119" s="29" t="str">
        <f t="shared" ref="O119:P119" si="471">if(ISBLANK($C119), "", O$1)</f>
        <v/>
      </c>
      <c r="P119" s="29" t="str">
        <f t="shared" si="471"/>
        <v/>
      </c>
      <c r="Q119" s="29" t="str">
        <f>HLOOKUP(Q$1,google_form!$1:$196,$A119,FALSE)</f>
        <v/>
      </c>
      <c r="R119" s="29" t="str">
        <f>HLOOKUP(R$1,google_form!$1:$196,$A119,FALSE)</f>
        <v/>
      </c>
      <c r="S119" s="29" t="str">
        <f>HLOOKUP(S$1,google_form!$1:$196,$A119,FALSE)</f>
        <v/>
      </c>
      <c r="T119" s="29" t="str">
        <f>HLOOKUP(T$1,google_form!$1:$196,$A119,FALSE)</f>
        <v/>
      </c>
      <c r="U119" s="29" t="str">
        <f>HLOOKUP(U$1,google_form!$1:$196,$A119,FALSE)</f>
        <v/>
      </c>
      <c r="V119" s="29" t="str">
        <f t="shared" si="10"/>
        <v/>
      </c>
      <c r="W119" s="29" t="str">
        <f>HLOOKUP(W$1,google_form!$1:$196,$A119,FALSE)</f>
        <v/>
      </c>
      <c r="X119" s="29" t="str">
        <f t="shared" si="11"/>
        <v/>
      </c>
      <c r="Y119" s="29" t="str">
        <f>HLOOKUP(Y$1,google_form!$1:$196,$A119,FALSE)</f>
        <v/>
      </c>
    </row>
    <row r="120">
      <c r="A120" s="29">
        <v>119.0</v>
      </c>
      <c r="B120" s="29" t="str">
        <f>HLOOKUP(B$1,google_form!$1:$216,$A120,FALSE)</f>
        <v/>
      </c>
      <c r="C120" s="29" t="str">
        <f>HLOOKUP(C$1,google_form!$1:$216,$A120,FALSE)</f>
        <v/>
      </c>
      <c r="D120" s="29" t="str">
        <f>HLOOKUP(D$1,google_form!$1:$216,$A120,FALSE)</f>
        <v/>
      </c>
      <c r="E120" s="29" t="str">
        <f>HLOOKUP(E$1,google_form!$1:$216,$A120,FALSE)</f>
        <v/>
      </c>
      <c r="F120" s="29" t="str">
        <f t="shared" ref="F120:G120" si="472">if(ISBLANK($C120), "", F$1)</f>
        <v/>
      </c>
      <c r="G120" s="29" t="str">
        <f t="shared" si="472"/>
        <v/>
      </c>
      <c r="H120" s="29" t="str">
        <f>HLOOKUP(H$1,google_form!$1:$196,$A120,FALSE)</f>
        <v/>
      </c>
      <c r="I120" s="29" t="str">
        <f t="shared" ref="I120:J120" si="473">if(ISBLANK($C120), "", I$1)</f>
        <v/>
      </c>
      <c r="J120" s="29" t="str">
        <f t="shared" si="473"/>
        <v/>
      </c>
      <c r="K120" s="29" t="str">
        <f>HLOOKUP(K$1,google_form!$1:$196,$A120,FALSE)</f>
        <v/>
      </c>
      <c r="L120" s="29" t="str">
        <f t="shared" ref="L120:M120" si="474">if(ISBLANK($C120), "", L$1)</f>
        <v/>
      </c>
      <c r="M120" s="29" t="str">
        <f t="shared" si="474"/>
        <v/>
      </c>
      <c r="N120" s="34" t="str">
        <f>HLOOKUP(N$1,google_form!$1:$196,$A120,FALSE)</f>
        <v/>
      </c>
      <c r="O120" s="29" t="str">
        <f t="shared" ref="O120:P120" si="475">if(ISBLANK($C120), "", O$1)</f>
        <v/>
      </c>
      <c r="P120" s="29" t="str">
        <f t="shared" si="475"/>
        <v/>
      </c>
      <c r="Q120" s="29" t="str">
        <f>HLOOKUP(Q$1,google_form!$1:$196,$A120,FALSE)</f>
        <v/>
      </c>
      <c r="R120" s="29" t="str">
        <f>HLOOKUP(R$1,google_form!$1:$196,$A120,FALSE)</f>
        <v/>
      </c>
      <c r="S120" s="29" t="str">
        <f>HLOOKUP(S$1,google_form!$1:$196,$A120,FALSE)</f>
        <v/>
      </c>
      <c r="T120" s="29" t="str">
        <f>HLOOKUP(T$1,google_form!$1:$196,$A120,FALSE)</f>
        <v/>
      </c>
      <c r="U120" s="29" t="str">
        <f>HLOOKUP(U$1,google_form!$1:$196,$A120,FALSE)</f>
        <v/>
      </c>
      <c r="V120" s="29" t="str">
        <f t="shared" si="10"/>
        <v/>
      </c>
      <c r="W120" s="29" t="str">
        <f>HLOOKUP(W$1,google_form!$1:$196,$A120,FALSE)</f>
        <v/>
      </c>
      <c r="X120" s="29" t="str">
        <f t="shared" si="11"/>
        <v/>
      </c>
      <c r="Y120" s="29" t="str">
        <f>HLOOKUP(Y$1,google_form!$1:$196,$A120,FALSE)</f>
        <v/>
      </c>
    </row>
    <row r="121">
      <c r="A121" s="29">
        <v>120.0</v>
      </c>
      <c r="B121" s="29" t="str">
        <f>HLOOKUP(B$1,google_form!$1:$216,$A121,FALSE)</f>
        <v/>
      </c>
      <c r="C121" s="29" t="str">
        <f>HLOOKUP(C$1,google_form!$1:$216,$A121,FALSE)</f>
        <v/>
      </c>
      <c r="D121" s="29" t="str">
        <f>HLOOKUP(D$1,google_form!$1:$216,$A121,FALSE)</f>
        <v/>
      </c>
      <c r="E121" s="29" t="str">
        <f>HLOOKUP(E$1,google_form!$1:$216,$A121,FALSE)</f>
        <v/>
      </c>
      <c r="F121" s="29" t="str">
        <f t="shared" ref="F121:G121" si="476">if(ISBLANK($C121), "", F$1)</f>
        <v/>
      </c>
      <c r="G121" s="29" t="str">
        <f t="shared" si="476"/>
        <v/>
      </c>
      <c r="H121" s="29" t="str">
        <f>HLOOKUP(H$1,google_form!$1:$196,$A121,FALSE)</f>
        <v/>
      </c>
      <c r="I121" s="29" t="str">
        <f t="shared" ref="I121:J121" si="477">if(ISBLANK($C121), "", I$1)</f>
        <v/>
      </c>
      <c r="J121" s="29" t="str">
        <f t="shared" si="477"/>
        <v/>
      </c>
      <c r="K121" s="29" t="str">
        <f>HLOOKUP(K$1,google_form!$1:$196,$A121,FALSE)</f>
        <v/>
      </c>
      <c r="L121" s="29" t="str">
        <f t="shared" ref="L121:M121" si="478">if(ISBLANK($C121), "", L$1)</f>
        <v/>
      </c>
      <c r="M121" s="29" t="str">
        <f t="shared" si="478"/>
        <v/>
      </c>
      <c r="N121" s="34" t="str">
        <f>HLOOKUP(N$1,google_form!$1:$196,$A121,FALSE)</f>
        <v/>
      </c>
      <c r="O121" s="29" t="str">
        <f t="shared" ref="O121:P121" si="479">if(ISBLANK($C121), "", O$1)</f>
        <v/>
      </c>
      <c r="P121" s="29" t="str">
        <f t="shared" si="479"/>
        <v/>
      </c>
      <c r="Q121" s="29" t="str">
        <f>HLOOKUP(Q$1,google_form!$1:$196,$A121,FALSE)</f>
        <v/>
      </c>
      <c r="R121" s="29" t="str">
        <f>HLOOKUP(R$1,google_form!$1:$196,$A121,FALSE)</f>
        <v/>
      </c>
      <c r="S121" s="29" t="str">
        <f>HLOOKUP(S$1,google_form!$1:$196,$A121,FALSE)</f>
        <v/>
      </c>
      <c r="T121" s="29" t="str">
        <f>HLOOKUP(T$1,google_form!$1:$196,$A121,FALSE)</f>
        <v/>
      </c>
      <c r="U121" s="29" t="str">
        <f>HLOOKUP(U$1,google_form!$1:$196,$A121,FALSE)</f>
        <v/>
      </c>
      <c r="V121" s="29" t="str">
        <f t="shared" si="10"/>
        <v/>
      </c>
      <c r="W121" s="29" t="str">
        <f>HLOOKUP(W$1,google_form!$1:$196,$A121,FALSE)</f>
        <v/>
      </c>
      <c r="X121" s="29" t="str">
        <f t="shared" si="11"/>
        <v/>
      </c>
      <c r="Y121" s="29" t="str">
        <f>HLOOKUP(Y$1,google_form!$1:$196,$A121,FALSE)</f>
        <v/>
      </c>
    </row>
    <row r="122">
      <c r="A122" s="29">
        <v>121.0</v>
      </c>
      <c r="B122" s="29" t="str">
        <f>HLOOKUP(B$1,google_form!$1:$216,$A122,FALSE)</f>
        <v/>
      </c>
      <c r="C122" s="29" t="str">
        <f>HLOOKUP(C$1,google_form!$1:$216,$A122,FALSE)</f>
        <v/>
      </c>
      <c r="D122" s="29" t="str">
        <f>HLOOKUP(D$1,google_form!$1:$216,$A122,FALSE)</f>
        <v/>
      </c>
      <c r="E122" s="29" t="str">
        <f>HLOOKUP(E$1,google_form!$1:$216,$A122,FALSE)</f>
        <v/>
      </c>
      <c r="F122" s="29" t="str">
        <f t="shared" ref="F122:G122" si="480">if(ISBLANK($C122), "", F$1)</f>
        <v/>
      </c>
      <c r="G122" s="29" t="str">
        <f t="shared" si="480"/>
        <v/>
      </c>
      <c r="H122" s="29" t="str">
        <f>HLOOKUP(H$1,google_form!$1:$196,$A122,FALSE)</f>
        <v/>
      </c>
      <c r="I122" s="29" t="str">
        <f t="shared" ref="I122:J122" si="481">if(ISBLANK($C122), "", I$1)</f>
        <v/>
      </c>
      <c r="J122" s="29" t="str">
        <f t="shared" si="481"/>
        <v/>
      </c>
      <c r="K122" s="29" t="str">
        <f>HLOOKUP(K$1,google_form!$1:$196,$A122,FALSE)</f>
        <v/>
      </c>
      <c r="L122" s="29" t="str">
        <f t="shared" ref="L122:M122" si="482">if(ISBLANK($C122), "", L$1)</f>
        <v/>
      </c>
      <c r="M122" s="29" t="str">
        <f t="shared" si="482"/>
        <v/>
      </c>
      <c r="N122" s="34" t="str">
        <f>HLOOKUP(N$1,google_form!$1:$196,$A122,FALSE)</f>
        <v/>
      </c>
      <c r="O122" s="29" t="str">
        <f t="shared" ref="O122:P122" si="483">if(ISBLANK($C122), "", O$1)</f>
        <v/>
      </c>
      <c r="P122" s="29" t="str">
        <f t="shared" si="483"/>
        <v/>
      </c>
      <c r="Q122" s="29" t="str">
        <f>HLOOKUP(Q$1,google_form!$1:$196,$A122,FALSE)</f>
        <v/>
      </c>
      <c r="R122" s="29" t="str">
        <f>HLOOKUP(R$1,google_form!$1:$196,$A122,FALSE)</f>
        <v/>
      </c>
      <c r="S122" s="29" t="str">
        <f>HLOOKUP(S$1,google_form!$1:$196,$A122,FALSE)</f>
        <v/>
      </c>
      <c r="T122" s="29" t="str">
        <f>HLOOKUP(T$1,google_form!$1:$196,$A122,FALSE)</f>
        <v/>
      </c>
      <c r="U122" s="29" t="str">
        <f>HLOOKUP(U$1,google_form!$1:$196,$A122,FALSE)</f>
        <v/>
      </c>
      <c r="V122" s="29" t="str">
        <f t="shared" si="10"/>
        <v/>
      </c>
      <c r="W122" s="29" t="str">
        <f>HLOOKUP(W$1,google_form!$1:$196,$A122,FALSE)</f>
        <v/>
      </c>
      <c r="X122" s="29" t="str">
        <f t="shared" si="11"/>
        <v/>
      </c>
      <c r="Y122" s="29" t="str">
        <f>HLOOKUP(Y$1,google_form!$1:$196,$A122,FALSE)</f>
        <v/>
      </c>
    </row>
  </sheetData>
  <drawing r:id="rId2"/>
  <legacyDrawing r:id="rId3"/>
</worksheet>
</file>
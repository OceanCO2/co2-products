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<sst xmlns="http://schemas.openxmlformats.org/spreadsheetml/2006/main" count="926" uniqueCount="651">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</sst>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table" Target="../tables/table1.xm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46" Type="http://schemas.openxmlformats.org/officeDocument/2006/relationships/hyperlink" Target="https://doi.org/10.5194/essd-11-421-2019" TargetMode="External"/><Relationship Id="rId45" Type="http://schemas.openxmlformats.org/officeDocument/2006/relationships/hyperlink" Target="https://essd.copernicus.org/articles/11/421/2019/essd-11-421-2019-avatar-web.png" TargetMode="External"/><Relationship Id="rId107" Type="http://schemas.openxmlformats.org/officeDocument/2006/relationships/hyperlink" Target="https://doi.org/10.25921/ndgj-jp24" TargetMode="External"/><Relationship Id="rId106" Type="http://schemas.openxmlformats.org/officeDocument/2006/relationships/hyperlink" Target="https://doi.org/10.5194/essd-12-1725-2020" TargetMode="External"/><Relationship Id="rId105" Type="http://schemas.openxmlformats.org/officeDocument/2006/relationships/hyperlink" Target="https://essd.copernicus.org/articles/12/1725/2020/essd-12-1725-2020-f07-web.png" TargetMode="External"/><Relationship Id="rId104" Type="http://schemas.openxmlformats.org/officeDocument/2006/relationships/hyperlink" Target="https://www.nies.go.jp/doi/10.17595/20220311.001-e.html" TargetMode="External"/><Relationship Id="rId109" Type="http://schemas.openxmlformats.org/officeDocument/2006/relationships/hyperlink" Target="https://doi.org/10.5194/essd-16-2123-2024" TargetMode="External"/><Relationship Id="rId108" Type="http://schemas.openxmlformats.org/officeDocument/2006/relationships/hyperlink" Target="https://essd.copernicus.org/articles/16/2123/2024/essd-16-2123-2024-avatar-web.png" TargetMode="External"/><Relationship Id="rId48" Type="http://schemas.openxmlformats.org/officeDocument/2006/relationships/hyperlink" Target="https://i.ibb.co/8gK4B2BP/Point-B.png" TargetMode="External"/><Relationship Id="rId187" Type="http://schemas.openxmlformats.org/officeDocument/2006/relationships/hyperlink" Target="https://doi.org/10.5194/bg-22-1631-2025" TargetMode="External"/><Relationship Id="rId47" Type="http://schemas.openxmlformats.org/officeDocument/2006/relationships/hyperlink" Target="https://www.ncei.noaa.gov/data/oceans/ncei/ocads/metadata/0173932.html" TargetMode="External"/><Relationship Id="rId186" Type="http://schemas.openxmlformats.org/officeDocument/2006/relationships/hyperlink" Target="https://doi.org/10.5194/bg-22-1631-2025" TargetMode="External"/><Relationship Id="rId185" Type="http://schemas.openxmlformats.org/officeDocument/2006/relationships/hyperlink" Target="https://upload.wikimedia.org/wikipedia/commons/thumb/9/9c/Ocean_water.jpg/960px-Ocean_water.jpg" TargetMode="External"/><Relationship Id="rId49" Type="http://schemas.openxmlformats.org/officeDocument/2006/relationships/hyperlink" Target="https://doi.org/10.5194/os-13-411-2017" TargetMode="External"/><Relationship Id="rId184" Type="http://schemas.openxmlformats.org/officeDocument/2006/relationships/hyperlink" Target="https://www.seanoe.org/data/00927/103934" TargetMode="External"/><Relationship Id="rId103" Type="http://schemas.openxmlformats.org/officeDocument/2006/relationships/hyperlink" Target="https://doi.org/10.3389/fmars.2022.989233" TargetMode="External"/><Relationship Id="rId102" Type="http://schemas.openxmlformats.org/officeDocument/2006/relationships/hyperlink" Target="https://i.ibb.co/zW1nfm1f/Picture3b.png" TargetMode="External"/><Relationship Id="rId101" Type="http://schemas.openxmlformats.org/officeDocument/2006/relationships/hyperlink" Target="https://doi.org/10.25921/4sde-p068" TargetMode="External"/><Relationship Id="rId100" Type="http://schemas.openxmlformats.org/officeDocument/2006/relationships/hyperlink" Target="https://doi.org/10.5194/essd-16-421-2024" TargetMode="External"/><Relationship Id="rId188" Type="http://schemas.openxmlformats.org/officeDocument/2006/relationships/drawing" Target="../drawings/drawing1.xm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i.ibb.co/B5hFVP3W/unnamed.png" TargetMode="External"/><Relationship Id="rId183" Type="http://schemas.openxmlformats.org/officeDocument/2006/relationships/hyperlink" Target="https://doi.org/10.5194/bg-19-4431-2022"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www.seanoe.org/data/00927/103934/illustration.gif" TargetMode="External"/><Relationship Id="rId35" Type="http://schemas.openxmlformats.org/officeDocument/2006/relationships/hyperlink" Target="https://www.ncei.noaa.gov/access/metadata/landing-page/bin/iso?id=gov.noaa.nodc:NCRMP-CO3-Atlantic" TargetMode="External"/><Relationship Id="rId181" Type="http://schemas.openxmlformats.org/officeDocument/2006/relationships/hyperlink" Target="https://www.seanoe.org/data/00927/103938/" TargetMode="External"/><Relationship Id="rId34" Type="http://schemas.openxmlformats.org/officeDocument/2006/relationships/hyperlink" Target="https://www.ncei.noaa.gov/data/oceans/coris/library/NOAA/CRCP/monitoring/protocols/" TargetMode="External"/><Relationship Id="rId180" Type="http://schemas.openxmlformats.org/officeDocument/2006/relationships/hyperlink" Target="https://doi.org/10.1126/sciadv.abd5964" TargetMode="External"/><Relationship Id="rId37" Type="http://schemas.openxmlformats.org/officeDocument/2006/relationships/hyperlink" Target="https://doi.org/10.5194/essd-16-219-2024" TargetMode="External"/><Relationship Id="rId176" Type="http://schemas.openxmlformats.org/officeDocument/2006/relationships/hyperlink" Target="https://i.ibb.co/Xxbcrf2b/Screenshot-2025-11-14-at-08-56-35.png" TargetMode="External"/><Relationship Id="rId36" Type="http://schemas.openxmlformats.org/officeDocument/2006/relationships/hyperlink" Target="https://i.ibb.co/Nd6JQ84q/data-locs-composite-bs.png" TargetMode="External"/><Relationship Id="rId175" Type="http://schemas.openxmlformats.org/officeDocument/2006/relationships/hyperlink" Target="https://doi.org/10.6084/m9.figshare.8091161.v1"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073/pnas.1900371116" TargetMode="External"/><Relationship Id="rId38" Type="http://schemas.openxmlformats.org/officeDocument/2006/relationships/hyperlink" Target="https://doi.org/10.25921/2vve-fh39" TargetMode="External"/><Relationship Id="rId173" Type="http://schemas.openxmlformats.org/officeDocument/2006/relationships/hyperlink" Target="https://www.pnas.org/cms/10.1073/pnas.1900371116/asset/284a7ec7-9bf5-4d3a-a5ba-86242a3e1b26/assets/graphic/pnas.1900371116fig01.jpeg" TargetMode="External"/><Relationship Id="rId179" Type="http://schemas.openxmlformats.org/officeDocument/2006/relationships/hyperlink" Target="https://www.seanoe.org/data/00927/103934/illustration.gif" TargetMode="External"/><Relationship Id="rId178" Type="http://schemas.openxmlformats.org/officeDocument/2006/relationships/hyperlink" Target="https://figshare.com/articles/dataset/OCIM2-48L_abiotic_ocean_carbon_cycle_model_output/19341974" TargetMode="External"/><Relationship Id="rId177" Type="http://schemas.openxmlformats.org/officeDocument/2006/relationships/hyperlink" Target="https://doi.org/10.1029/2021GL096018"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i.ibb.co/dwFT2QJx/GLODAPv2-Climatology.png" TargetMode="External"/><Relationship Id="rId128" Type="http://schemas.openxmlformats.org/officeDocument/2006/relationships/hyperlink" Target="https://www.ncei.noaa.gov/data/oceans/ncei/ocads/metadata/0307788.html" TargetMode="External"/><Relationship Id="rId127" Type="http://schemas.openxmlformats.org/officeDocument/2006/relationships/hyperlink" Target="https://doi.org/10.1038/s41597-025-04914-z" TargetMode="External"/><Relationship Id="rId126" Type="http://schemas.openxmlformats.org/officeDocument/2006/relationships/hyperlink" Target="https://i.ibb.co/8DtF8Zz4/p-CIBR-p-CO2-DECADAL.pn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1029/2024GB008344"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BYn8GyH/Climatology-TA.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30766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4GB008139" TargetMode="External"/><Relationship Id="rId123" Type="http://schemas.openxmlformats.org/officeDocument/2006/relationships/hyperlink" Target="https://i.ibb.co/wFc3f1bY/p-H-DECADAL.png" TargetMode="External"/><Relationship Id="rId122" Type="http://schemas.openxmlformats.org/officeDocument/2006/relationships/hyperlink" Target="https://www.ncei.noaa.gov/data/oceans/ncei/ocads/metadata/0307789.html" TargetMode="External"/><Relationship Id="rId95" Type="http://schemas.openxmlformats.org/officeDocument/2006/relationships/hyperlink" Target="http://doi.org/10.12157/IOCAS.20250814.001" TargetMode="External"/><Relationship Id="rId94" Type="http://schemas.openxmlformats.org/officeDocument/2006/relationships/hyperlink" Target="http://doi.org/10.12157/IOCAS.20250814.001" TargetMode="External"/><Relationship Id="rId97" Type="http://schemas.openxmlformats.org/officeDocument/2006/relationships/hyperlink" Target="https://doi.org/10.1007/s10872-020-00571-5" TargetMode="External"/><Relationship Id="rId96" Type="http://schemas.openxmlformats.org/officeDocument/2006/relationships/hyperlink" Target="https://www.data.jma.go.jp/kaiyou/data/db/mar_env/results/co2_flux/animation/fluxmap_fig/flux_2023MN.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421/2024/essd-16-421-2024-f01-web.png" TargetMode="External"/><Relationship Id="rId10" Type="http://schemas.openxmlformats.org/officeDocument/2006/relationships/hyperlink" Target="https://glodap.info/" TargetMode="External"/><Relationship Id="rId98" Type="http://schemas.openxmlformats.org/officeDocument/2006/relationships/hyperlink" Target="https://doi.org/10.1007/s10872-020-00571-5"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121-2024" TargetMode="External"/><Relationship Id="rId90" Type="http://schemas.openxmlformats.org/officeDocument/2006/relationships/hyperlink" Target="https://essd.copernicus.org/articles/16/121/2024/essd-16-121-2024-avatar-web.png" TargetMode="External"/><Relationship Id="rId93" Type="http://schemas.openxmlformats.org/officeDocument/2006/relationships/hyperlink" Target="https://appletmsdc.qdio.ac.cn//files/metadata/images/2025-08-14_1955061943601487874/DATA20251000212_11415094_1.jpg" TargetMode="External"/><Relationship Id="rId92" Type="http://schemas.openxmlformats.org/officeDocument/2006/relationships/hyperlink" Target="https://doi.org/10.48670/moi-00047" TargetMode="External"/><Relationship Id="rId118" Type="http://schemas.openxmlformats.org/officeDocument/2006/relationships/hyperlink" Target="https://doi.org/10.1038/s41597-024-03236-w" TargetMode="External"/><Relationship Id="rId117" Type="http://schemas.openxmlformats.org/officeDocument/2006/relationships/hyperlink" Target="https://i.ibb.co/cShr87g7/pCO2-BoB.png" TargetMode="External"/><Relationship Id="rId116" Type="http://schemas.openxmlformats.org/officeDocument/2006/relationships/hyperlink" Target="https://zenodo.org/records/13941548" TargetMode="External"/><Relationship Id="rId115" Type="http://schemas.openxmlformats.org/officeDocument/2006/relationships/hyperlink" Target="https://doi.org/10.1029/2021MS002960" TargetMode="External"/><Relationship Id="rId119" Type="http://schemas.openxmlformats.org/officeDocument/2006/relationships/hyperlink" Target="https://www.ncei.noaa.gov/data/oceans/ncei/ocads/metadata/0307627.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doi.org/10.25921/295g-sn13"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agupubs.onlinelibrary.wiley.com/cms/asset/c4abf6e9-b8d0-4d90-bb8c-4cc9ac68fe82/jame21703-fig-0001-m.jp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zenodo.org/records/13891722" TargetMode="External"/><Relationship Id="rId112" Type="http://schemas.openxmlformats.org/officeDocument/2006/relationships/hyperlink" Target="https://doi.org/10.1029/2022GL098632" TargetMode="External"/><Relationship Id="rId111" Type="http://schemas.openxmlformats.org/officeDocument/2006/relationships/hyperlink" Target="https://agupubs.onlinelibrary.wiley.com/cms/asset/f0d6e78d-0937-4fb5-9079-da046365f27b/jame21511-fig-0001-m.jpg" TargetMode="External"/><Relationship Id="rId84" Type="http://schemas.openxmlformats.org/officeDocument/2006/relationships/hyperlink" Target="https://i.ibb.co/ynxb1Hry/Screenshot-2025-11-07-at-09-32-32.png" TargetMode="External"/><Relationship Id="rId83" Type="http://schemas.openxmlformats.org/officeDocument/2006/relationships/hyperlink" Target="https://www.ncei.noaa.gov/data/oceans/ncei/ocads/metadata/0160558.html" TargetMode="External"/><Relationship Id="rId86" Type="http://schemas.openxmlformats.org/officeDocument/2006/relationships/hyperlink" Target="https://www.ncei.noaa.gov/access/metadata/landing-page/bin/iso?id=gov.noaa.nodc:0287551" TargetMode="External"/><Relationship Id="rId85" Type="http://schemas.openxmlformats.org/officeDocument/2006/relationships/hyperlink" Target="https://doi.org/10.1038/s41597-024-03530-7" TargetMode="External"/><Relationship Id="rId88" Type="http://schemas.openxmlformats.org/officeDocument/2006/relationships/hyperlink" Target="https://doi.org/10.5194/bg-19-1087-2022" TargetMode="External"/><Relationship Id="rId150"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87" Type="http://schemas.openxmlformats.org/officeDocument/2006/relationships/hyperlink" Target="https://bg.copernicus.org/articles/19/1087/2022/bg-19-1087-2022-avatar-web.png" TargetMode="External"/><Relationship Id="rId89" Type="http://schemas.openxmlformats.org/officeDocument/2006/relationships/hyperlink" Target="https://data.ipsl.fr/catalog/srv/eng/catalog.search" TargetMode="External"/><Relationship Id="rId80" Type="http://schemas.openxmlformats.org/officeDocument/2006/relationships/hyperlink" Target="https://www.ncei.noaa.gov/access/ocean-carbon-acidification-data-system/oceans/MPI-ULB-SOM_FFN_clim.html" TargetMode="External"/><Relationship Id="rId82" Type="http://schemas.openxmlformats.org/officeDocument/2006/relationships/hyperlink" Target="https://doi.org/10.1002/2015gb005359" TargetMode="External"/><Relationship Id="rId81" Type="http://schemas.openxmlformats.org/officeDocument/2006/relationships/hyperlink" Target="https://www.ncei.noaa.gov/data/oceans/archive/arc0105/0160558/8.8/about/0160558_preview.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www.ncei.noaa.gov/data/oceans/ncei/ocads/metadata/0277099.html" TargetMode="External"/><Relationship Id="rId4" Type="http://schemas.openxmlformats.org/officeDocument/2006/relationships/hyperlink" Target="https://socat.info/" TargetMode="External"/><Relationship Id="rId148" Type="http://schemas.openxmlformats.org/officeDocument/2006/relationships/hyperlink" Target="https://doi.org/10.1029/2022gb007677"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ncei/ocads/metadata/0270962.html" TargetMode="External"/><Relationship Id="rId142" Type="http://schemas.openxmlformats.org/officeDocument/2006/relationships/hyperlink" Target="https://doi.org/10.5194/essd-16-3383-2024" TargetMode="External"/><Relationship Id="rId141" Type="http://schemas.openxmlformats.org/officeDocument/2006/relationships/hyperlink" Target="https://essd.copernicus.org/articles/16/3383/2024/essd-16-3383-2024-avatar-web.png" TargetMode="External"/><Relationship Id="rId140" Type="http://schemas.openxmlformats.org/officeDocument/2006/relationships/hyperlink" Target="https://www.ncei.noaa.gov/data/oceans/ncei/ocads/metadata/0139360.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ncei.noaa.gov/access/ocean-carbon-acidification-data-system/oceans/ndp_104/Moby.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access/ocean-carbon-acidification-data-system/oceans/ndp_104/ndp10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029/2020GB0065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access/ocean-carbon-acidification-data-system/oceans/ndp_104/Moby.jpg" TargetMode="External"/><Relationship Id="rId73" Type="http://schemas.openxmlformats.org/officeDocument/2006/relationships/hyperlink" Target="https://doi.org/10.1029/2024GB008315" TargetMode="External"/><Relationship Id="rId72" Type="http://schemas.openxmlformats.org/officeDocument/2006/relationships/hyperlink" Target="https://www.ncei.noaa.gov/data/oceans/archive/arc0235/0298989/2.2/about/0298989_preview.jpg" TargetMode="External"/><Relationship Id="rId75" Type="http://schemas.openxmlformats.org/officeDocument/2006/relationships/hyperlink" Target="https://essd.copernicus.org/articles/12/1489/2020/essd-12-1489-2020-avatar-web.png" TargetMode="External"/><Relationship Id="rId74" Type="http://schemas.openxmlformats.org/officeDocument/2006/relationships/hyperlink" Target="https://www.ncei.noaa.gov/data/oceans/ncei/ocads/metadata/0298989.html" TargetMode="External"/><Relationship Id="rId77" Type="http://schemas.openxmlformats.org/officeDocument/2006/relationships/hyperlink" Target="https://www.ncei.noaa.gov/data/oceans/ncei/ocads/metadata/0207749.html" TargetMode="External"/><Relationship Id="rId76" Type="http://schemas.openxmlformats.org/officeDocument/2006/relationships/hyperlink" Target="https://doi.org/10.5194/essd-12-1489-2020" TargetMode="External"/><Relationship Id="rId79" Type="http://schemas.openxmlformats.org/officeDocument/2006/relationships/hyperlink" Target="https://doi.org/10.5194/essd-12-2537-2020" TargetMode="External"/><Relationship Id="rId78" Type="http://schemas.openxmlformats.org/officeDocument/2006/relationships/hyperlink" Target="https://essd.copernicus.org/articles/12/2537/2020/essd-12-2537-2020-avatar-web.png" TargetMode="External"/><Relationship Id="rId71" Type="http://schemas.openxmlformats.org/officeDocument/2006/relationships/hyperlink" Target="https://www.ncei.noaa.gov/data/oceans/ncei/ocads/metadata/0259391.html" TargetMode="External"/><Relationship Id="rId70" Type="http://schemas.openxmlformats.org/officeDocument/2006/relationships/hyperlink" Target="https://doi.org/10.1029/2022MS003563" TargetMode="External"/><Relationship Id="rId139" Type="http://schemas.openxmlformats.org/officeDocument/2006/relationships/hyperlink" Target="https://doi.org/10.1002/2015GB005198" TargetMode="External"/><Relationship Id="rId138" Type="http://schemas.openxmlformats.org/officeDocument/2006/relationships/hyperlink" Target="https://agupubs.onlinelibrary.wiley.com/cms/asset/1787fd59-795c-4979-9565-6e7270b0fdbf/gbc20348-fig-0002-m.jpg" TargetMode="External"/><Relationship Id="rId137" Type="http://schemas.openxmlformats.org/officeDocument/2006/relationships/hyperlink" Target="https://www.ncei.noaa.gov/data/oceans/ncei/ocads/metadata/0186034.html" TargetMode="External"/><Relationship Id="rId132" Type="http://schemas.openxmlformats.org/officeDocument/2006/relationships/hyperlink" Target="https://www.ncei.noaa.gov/data/oceans/archive/arc0227/0290073/1.1/about/0290073_preview.jpg" TargetMode="External"/><Relationship Id="rId131" Type="http://schemas.openxmlformats.org/officeDocument/2006/relationships/hyperlink" Target="https://www.ncei.noaa.gov/data/oceans/ncei/ocads/metadata/0286118.html" TargetMode="External"/><Relationship Id="rId130" Type="http://schemas.openxmlformats.org/officeDocument/2006/relationships/hyperlink" Target="https://doi.org/10.5194/essd-8-325-2016" TargetMode="External"/><Relationship Id="rId136" Type="http://schemas.openxmlformats.org/officeDocument/2006/relationships/hyperlink" Target="https://doi.org/10.1126/science.aau5153" TargetMode="External"/><Relationship Id="rId135" Type="http://schemas.openxmlformats.org/officeDocument/2006/relationships/hyperlink" Target="https://www.ncei.noaa.gov/data/oceans/archive/arc0132/0186034/1.1/about/0186034_preview.jpg" TargetMode="External"/><Relationship Id="rId134" Type="http://schemas.openxmlformats.org/officeDocument/2006/relationships/hyperlink" Target="https://www.ncei.noaa.gov/data/oceans/ncei/ocads/metadata/0290073.html" TargetMode="External"/><Relationship Id="rId133" Type="http://schemas.openxmlformats.org/officeDocument/2006/relationships/hyperlink" Target="https://doi.org/10.1029/2023GB007843" TargetMode="External"/><Relationship Id="rId62" Type="http://schemas.openxmlformats.org/officeDocument/2006/relationships/hyperlink" Target="https://zenodo.org/records/11206366" TargetMode="External"/><Relationship Id="rId61" Type="http://schemas.openxmlformats.org/officeDocument/2006/relationships/hyperlink" Target="https://doi.org/10.1029/2024GB008127" TargetMode="External"/><Relationship Id="rId64" Type="http://schemas.openxmlformats.org/officeDocument/2006/relationships/hyperlink" Target="https://doi.org/10.1038/s41467-020-18203-3" TargetMode="External"/><Relationship Id="rId63" Type="http://schemas.openxmlformats.org/officeDocument/2006/relationships/hyperlink" Target="https://i.ibb.co/tpmH1dzt/Watson.png" TargetMode="External"/><Relationship Id="rId66" Type="http://schemas.openxmlformats.org/officeDocument/2006/relationships/hyperlink" Target="https://media.springernature.com/lw685/springer-static/image/art%3A10.1038%2Fs41598-019-55039-4/MediaObjects/41598_2019_55039_Fig6_HTML.png?as=webp" TargetMode="External"/><Relationship Id="rId172" Type="http://schemas.openxmlformats.org/officeDocument/2006/relationships/hyperlink" Target="https://github.com/BRCScienceProducts/PreformedPropertyEstimates" TargetMode="External"/><Relationship Id="rId65" Type="http://schemas.openxmlformats.org/officeDocument/2006/relationships/hyperlink" Target="https://www.ncei.noaa.gov/data/oceans/ncei/ocads/data/0301544/" TargetMode="External"/><Relationship Id="rId171" Type="http://schemas.openxmlformats.org/officeDocument/2006/relationships/hyperlink" Target="https://zenodo.org/records/3745002" TargetMode="External"/><Relationship Id="rId68" Type="http://schemas.openxmlformats.org/officeDocument/2006/relationships/hyperlink" Target="https://www.ncei.noaa.gov/data/oceans/ncei/ocads/metadata/0206289.html" TargetMode="External"/><Relationship Id="rId170" Type="http://schemas.openxmlformats.org/officeDocument/2006/relationships/hyperlink" Target="https://agupubs.onlinelibrary.wiley.com/cms/asset/a70dc130-3967-4e0c-bab1-fa5967af0a63/gbc21075-fig-0003-m.jpg" TargetMode="External"/><Relationship Id="rId67" Type="http://schemas.openxmlformats.org/officeDocument/2006/relationships/hyperlink" Target="https://doi.org/10.1038/s41598-019-55039-4" TargetMode="External"/><Relationship Id="rId60" Type="http://schemas.openxmlformats.org/officeDocument/2006/relationships/hyperlink" Target="https://agupubs.onlinelibrary.wiley.com/cms/asset/7decc330-7468-429c-bae9-ac51b085be30/gbc21584-fig-0007-m.jpg" TargetMode="External"/><Relationship Id="rId165" Type="http://schemas.openxmlformats.org/officeDocument/2006/relationships/hyperlink" Target="https://doi.org/10.5281/zenodo.10627664" TargetMode="External"/><Relationship Id="rId69" Type="http://schemas.openxmlformats.org/officeDocument/2006/relationships/hyperlink" Target="https://agupubs.onlinelibrary.wiley.com/cms/asset/9184aab2-af20-4a63-9a8f-d0a99a4602bc/jame21817-fig-0008-m.jpg" TargetMode="External"/><Relationship Id="rId164" Type="http://schemas.openxmlformats.org/officeDocument/2006/relationships/hyperlink" Target="https://ecco-group.org/images/ecco_rotator01.jpg" TargetMode="External"/><Relationship Id="rId163" Type="http://schemas.openxmlformats.org/officeDocument/2006/relationships/hyperlink" Target="https://zenodo.org/records/8280457" TargetMode="External"/><Relationship Id="rId162" Type="http://schemas.openxmlformats.org/officeDocument/2006/relationships/hyperlink" Target="https://doi.org/10.5194/essd-2021-16" TargetMode="External"/><Relationship Id="rId169" Type="http://schemas.openxmlformats.org/officeDocument/2006/relationships/hyperlink" Target="https://zenodo.org/records/15692788" TargetMode="External"/><Relationship Id="rId168" Type="http://schemas.openxmlformats.org/officeDocument/2006/relationships/hyperlink" Target="https://doi.org/10.5194/essd-17-3073-2025" TargetMode="External"/><Relationship Id="rId167" Type="http://schemas.openxmlformats.org/officeDocument/2006/relationships/hyperlink" Target="https://essd.copernicus.org/articles/17/3073/2025/essd-17-3073-2025-avatar-web.png" TargetMode="External"/><Relationship Id="rId166" Type="http://schemas.openxmlformats.org/officeDocument/2006/relationships/hyperlink" Target="https://data.nas.nasa.gov/ecco/" TargetMode="External"/><Relationship Id="rId51" Type="http://schemas.openxmlformats.org/officeDocument/2006/relationships/hyperlink" Target="https://essd.copernicus.org/articles/15/2809/2023/essd-15-2809-2023-avatar-web.png" TargetMode="External"/><Relationship Id="rId50" Type="http://schemas.openxmlformats.org/officeDocument/2006/relationships/hyperlink" Target="https://doi.org/10.1594/PANGAEA.727120" TargetMode="External"/><Relationship Id="rId53" Type="http://schemas.openxmlformats.org/officeDocument/2006/relationships/hyperlink" Target="https://doi.org//10.1594/PANGAEA.957028" TargetMode="External"/><Relationship Id="rId52" Type="http://schemas.openxmlformats.org/officeDocument/2006/relationships/hyperlink" Target="https://doi.org/10.5194/essd-15-2809-2023" TargetMode="External"/><Relationship Id="rId55" Type="http://schemas.openxmlformats.org/officeDocument/2006/relationships/hyperlink" Target="https://doi.org/10.5194/gmd-12-5113-2019" TargetMode="External"/><Relationship Id="rId161" Type="http://schemas.openxmlformats.org/officeDocument/2006/relationships/hyperlink" Target="https://seaflux.readthedocs.io/en/latest/_static/seaflux_logo.png" TargetMode="External"/><Relationship Id="rId54" Type="http://schemas.openxmlformats.org/officeDocument/2006/relationships/hyperlink" Target="https://gmd.copernicus.org/articles/12/5113/2019/gmd-12-5113-2019-f09-web.png" TargetMode="External"/><Relationship Id="rId160" Type="http://schemas.openxmlformats.org/officeDocument/2006/relationships/hyperlink" Target="https://doi.org/10.25921/tefm-x802" TargetMode="External"/><Relationship Id="rId57" Type="http://schemas.openxmlformats.org/officeDocument/2006/relationships/hyperlink" Target="https://essd.copernicus.org/articles/13/777/2021/essd-13-777-2021-avatar-web.png" TargetMode="External"/><Relationship Id="rId56" Type="http://schemas.openxmlformats.org/officeDocument/2006/relationships/hyperlink" Target="https://www.ncei.noaa.gov/data/oceans/ncei/ocads/metadata/0206205.html" TargetMode="External"/><Relationship Id="rId159" Type="http://schemas.openxmlformats.org/officeDocument/2006/relationships/hyperlink" Target="https://doi.org/10.1126/sciadv.ado3103" TargetMode="External"/><Relationship Id="rId59" Type="http://schemas.openxmlformats.org/officeDocument/2006/relationships/hyperlink" Target="https://www.ncei.noaa.gov/data/oceans/ncei/ocads/metadata/0220059.html" TargetMode="External"/><Relationship Id="rId154" Type="http://schemas.openxmlformats.org/officeDocument/2006/relationships/hyperlink" Target="https://doi.org/10.25921/5p69-y471" TargetMode="External"/><Relationship Id="rId58" Type="http://schemas.openxmlformats.org/officeDocument/2006/relationships/hyperlink" Target="https://doi.org/10.5194/essd-13-777-2021" TargetMode="External"/><Relationship Id="rId153" Type="http://schemas.openxmlformats.org/officeDocument/2006/relationships/hyperlink" Target="https://essd.copernicus.org/articles/11/1109/2019/essd-11-1109-2019-f09-web.png" TargetMode="External"/><Relationship Id="rId152" Type="http://schemas.openxmlformats.org/officeDocument/2006/relationships/hyperlink" Target="http://doi.org/10.12157/IOCAS.20230720.001" TargetMode="External"/><Relationship Id="rId151" Type="http://schemas.openxmlformats.org/officeDocument/2006/relationships/hyperlink" Target="http://doi.org/10.12157/IOCAS.20230720.001" TargetMode="External"/><Relationship Id="rId158" Type="http://schemas.openxmlformats.org/officeDocument/2006/relationships/hyperlink" Target="https://i.ibb.co/YT3rjvDc/sciadv-ado3103-f1.jpg" TargetMode="External"/><Relationship Id="rId157" Type="http://schemas.openxmlformats.org/officeDocument/2006/relationships/hyperlink" Target="https://doi.org/10.25921/ppcf-w020" TargetMode="External"/><Relationship Id="rId156" Type="http://schemas.openxmlformats.org/officeDocument/2006/relationships/hyperlink" Target="https://doi.org/10.1029/2023AV000875" TargetMode="External"/><Relationship Id="rId155" Type="http://schemas.openxmlformats.org/officeDocument/2006/relationships/hyperlink" Target="https://eos.org/wp-content/uploads/2023/08/Fig2_highlight.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45974.8255159375</v>
      </c>
      <c r="B13" s="7" t="s">
        <v>22</v>
      </c>
      <c r="C13" s="7" t="s">
        <v>137</v>
      </c>
      <c r="D13" s="7" t="s">
        <v>138</v>
      </c>
      <c r="E13" s="7" t="s">
        <v>139</v>
      </c>
      <c r="F13" s="18" t="s">
        <v>140</v>
      </c>
      <c r="G13" s="10" t="s">
        <v>141</v>
      </c>
      <c r="H13" s="10" t="s">
        <v>142</v>
      </c>
      <c r="J13" s="7" t="s">
        <v>143</v>
      </c>
      <c r="K13" s="7" t="s">
        <v>144</v>
      </c>
      <c r="L13" s="15" t="s">
        <v>145</v>
      </c>
      <c r="M13" s="7" t="s">
        <v>54</v>
      </c>
      <c r="N13" s="7" t="s">
        <v>146</v>
      </c>
      <c r="O13" s="7" t="s">
        <v>147</v>
      </c>
      <c r="P13" s="7" t="s">
        <v>148</v>
      </c>
      <c r="U13" s="17" t="str">
        <f t="shared" si="1"/>
        <v>Loading...</v>
      </c>
      <c r="V13" s="17" t="str">
        <f t="shared" si="2"/>
        <v>Loading...</v>
      </c>
    </row>
    <row r="14" ht="22.5" customHeight="1">
      <c r="A14" s="6">
        <v>45975.08314631945</v>
      </c>
      <c r="B14" s="7" t="s">
        <v>22</v>
      </c>
      <c r="C14" s="7" t="s">
        <v>149</v>
      </c>
      <c r="D14" s="7" t="s">
        <v>150</v>
      </c>
      <c r="E14" s="7" t="s">
        <v>151</v>
      </c>
      <c r="F14" s="10" t="s">
        <v>152</v>
      </c>
      <c r="G14" s="10" t="s">
        <v>153</v>
      </c>
      <c r="H14" s="16" t="s">
        <v>154</v>
      </c>
      <c r="J14" s="7" t="s">
        <v>155</v>
      </c>
      <c r="K14" s="7" t="s">
        <v>103</v>
      </c>
      <c r="L14" s="15" t="s">
        <v>156</v>
      </c>
      <c r="M14" s="7" t="s">
        <v>157</v>
      </c>
      <c r="N14" s="7" t="s">
        <v>158</v>
      </c>
      <c r="O14" s="7" t="s">
        <v>159</v>
      </c>
      <c r="P14" s="7" t="s">
        <v>160</v>
      </c>
      <c r="U14" s="17" t="str">
        <f t="shared" si="1"/>
        <v>Loading...</v>
      </c>
      <c r="V14" s="17" t="str">
        <f t="shared" si="2"/>
        <v>Loading...</v>
      </c>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t="str">
        <f t="shared" si="1"/>
        <v>Loading...</v>
      </c>
      <c r="V15" s="17" t="str">
        <f t="shared" si="2"/>
        <v>Loading...</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t="str">
        <f t="shared" si="1"/>
        <v>Loading...</v>
      </c>
      <c r="V16" s="17" t="str">
        <f t="shared" si="2"/>
        <v>Loading...</v>
      </c>
    </row>
    <row r="17" ht="22.5" customHeight="1">
      <c r="A17" s="6">
        <v>45962.74445758102</v>
      </c>
      <c r="B17" s="7" t="s">
        <v>173</v>
      </c>
      <c r="C17" s="8" t="s">
        <v>185</v>
      </c>
      <c r="D17" s="8" t="s">
        <v>186</v>
      </c>
      <c r="E17" s="7" t="s">
        <v>187</v>
      </c>
      <c r="F17" s="10" t="s">
        <v>188</v>
      </c>
      <c r="G17" s="10" t="s">
        <v>189</v>
      </c>
      <c r="H17" s="10" t="s">
        <v>190</v>
      </c>
      <c r="I17" s="14"/>
      <c r="J17" s="7" t="s">
        <v>29</v>
      </c>
      <c r="K17" s="7" t="s">
        <v>30</v>
      </c>
      <c r="L17" s="15" t="s">
        <v>42</v>
      </c>
      <c r="M17" s="7" t="s">
        <v>32</v>
      </c>
      <c r="N17" s="7" t="s">
        <v>191</v>
      </c>
      <c r="O17" s="7" t="s">
        <v>192</v>
      </c>
      <c r="P17" s="12"/>
      <c r="Q17" s="12"/>
      <c r="R17" s="12"/>
      <c r="S17" s="12"/>
      <c r="U17" s="13" t="str">
        <f t="shared" si="1"/>
        <v>Loading...</v>
      </c>
      <c r="V17" s="13" t="str">
        <f t="shared" si="2"/>
        <v>Loading...</v>
      </c>
      <c r="W17" s="13"/>
    </row>
    <row r="18" ht="22.5" customHeight="1">
      <c r="A18" s="6">
        <v>45965.726672199075</v>
      </c>
      <c r="B18" s="7" t="s">
        <v>173</v>
      </c>
      <c r="C18" s="7" t="s">
        <v>193</v>
      </c>
      <c r="D18" s="7" t="s">
        <v>194</v>
      </c>
      <c r="E18" s="7" t="s">
        <v>195</v>
      </c>
      <c r="F18" s="10" t="s">
        <v>196</v>
      </c>
      <c r="G18" s="10" t="s">
        <v>197</v>
      </c>
      <c r="H18" s="10" t="s">
        <v>198</v>
      </c>
      <c r="J18" s="7" t="s">
        <v>51</v>
      </c>
      <c r="K18" s="7" t="s">
        <v>144</v>
      </c>
      <c r="L18" s="15" t="s">
        <v>42</v>
      </c>
      <c r="M18" s="7" t="s">
        <v>54</v>
      </c>
      <c r="N18" s="7" t="s">
        <v>199</v>
      </c>
      <c r="O18" s="7" t="s">
        <v>200</v>
      </c>
      <c r="P18" s="7" t="s">
        <v>201</v>
      </c>
      <c r="Q18" s="12"/>
      <c r="R18" s="12"/>
      <c r="S18" s="12"/>
      <c r="U18" s="17" t="str">
        <f t="shared" si="1"/>
        <v>Loading...</v>
      </c>
      <c r="V18" s="17" t="str">
        <f t="shared" si="2"/>
        <v>Loading...</v>
      </c>
      <c r="W18" s="21"/>
    </row>
    <row r="19" ht="22.5" customHeight="1">
      <c r="A19" s="6">
        <v>45965.74423630787</v>
      </c>
      <c r="B19" s="7" t="s">
        <v>173</v>
      </c>
      <c r="C19" s="7" t="s">
        <v>202</v>
      </c>
      <c r="D19" s="7" t="s">
        <v>203</v>
      </c>
      <c r="E19" s="7" t="s">
        <v>204</v>
      </c>
      <c r="F19" s="10" t="s">
        <v>205</v>
      </c>
      <c r="G19" s="10" t="s">
        <v>206</v>
      </c>
      <c r="H19" s="10" t="s">
        <v>207</v>
      </c>
      <c r="J19" s="7" t="s">
        <v>208</v>
      </c>
      <c r="K19" s="7" t="s">
        <v>144</v>
      </c>
      <c r="L19" s="15" t="s">
        <v>42</v>
      </c>
      <c r="M19" s="7" t="s">
        <v>32</v>
      </c>
      <c r="N19" s="7" t="s">
        <v>209</v>
      </c>
      <c r="O19" s="7" t="s">
        <v>210</v>
      </c>
      <c r="P19" s="7" t="s">
        <v>201</v>
      </c>
      <c r="Q19" s="12"/>
      <c r="R19" s="12"/>
      <c r="S19" s="12"/>
      <c r="U19" s="17" t="str">
        <f t="shared" si="1"/>
        <v>Loading...</v>
      </c>
      <c r="V19" s="17" t="str">
        <f t="shared" si="2"/>
        <v>Loading...</v>
      </c>
      <c r="W19" s="21"/>
    </row>
    <row r="20" ht="22.5" customHeight="1">
      <c r="A20" s="6">
        <v>45961.95201907407</v>
      </c>
      <c r="B20" s="7" t="s">
        <v>211</v>
      </c>
      <c r="C20" s="8" t="s">
        <v>212</v>
      </c>
      <c r="D20" s="8" t="s">
        <v>213</v>
      </c>
      <c r="E20" s="7" t="s">
        <v>214</v>
      </c>
      <c r="F20" s="10" t="s">
        <v>215</v>
      </c>
      <c r="G20" s="10" t="s">
        <v>216</v>
      </c>
      <c r="H20" s="18" t="s">
        <v>217</v>
      </c>
      <c r="I20" s="8" t="s">
        <v>218</v>
      </c>
      <c r="J20" s="7" t="s">
        <v>180</v>
      </c>
      <c r="K20" s="7" t="s">
        <v>41</v>
      </c>
      <c r="L20" s="7" t="s">
        <v>219</v>
      </c>
      <c r="N20" s="7" t="s">
        <v>220</v>
      </c>
      <c r="O20" s="7" t="s">
        <v>221</v>
      </c>
      <c r="P20" s="7" t="s">
        <v>222</v>
      </c>
      <c r="Q20" s="12"/>
      <c r="R20" s="12"/>
      <c r="S20" s="12"/>
      <c r="U20" s="13" t="str">
        <f t="shared" si="1"/>
        <v>Loading...</v>
      </c>
      <c r="V20" s="13" t="str">
        <f t="shared" si="2"/>
        <v>Loading...</v>
      </c>
      <c r="W20" s="13"/>
    </row>
    <row r="21" ht="22.5" customHeight="1">
      <c r="A21" s="6">
        <v>45961.909583877314</v>
      </c>
      <c r="B21" s="7" t="s">
        <v>211</v>
      </c>
      <c r="C21" s="8" t="s">
        <v>223</v>
      </c>
      <c r="D21" s="8" t="s">
        <v>224</v>
      </c>
      <c r="E21" s="7" t="s">
        <v>225</v>
      </c>
      <c r="F21" s="10" t="s">
        <v>226</v>
      </c>
      <c r="G21" s="10" t="s">
        <v>227</v>
      </c>
      <c r="H21" s="18" t="s">
        <v>228</v>
      </c>
      <c r="I21" s="8" t="s">
        <v>218</v>
      </c>
      <c r="J21" s="7" t="s">
        <v>180</v>
      </c>
      <c r="K21" s="7" t="s">
        <v>41</v>
      </c>
      <c r="L21" s="7" t="s">
        <v>229</v>
      </c>
      <c r="N21" s="7" t="s">
        <v>230</v>
      </c>
      <c r="O21" s="7" t="s">
        <v>231</v>
      </c>
      <c r="P21" s="7" t="s">
        <v>222</v>
      </c>
      <c r="Q21" s="12"/>
      <c r="R21" s="12"/>
      <c r="S21" s="12"/>
      <c r="T21" s="12"/>
      <c r="U21" s="13" t="str">
        <f t="shared" si="1"/>
        <v>Loading...</v>
      </c>
      <c r="V21" s="13" t="str">
        <f t="shared" si="2"/>
        <v>Loading...</v>
      </c>
      <c r="W21" s="13"/>
    </row>
    <row r="22" ht="22.5" customHeight="1">
      <c r="A22" s="6">
        <v>45961.91270586806</v>
      </c>
      <c r="B22" s="7" t="s">
        <v>211</v>
      </c>
      <c r="C22" s="8" t="s">
        <v>232</v>
      </c>
      <c r="D22" s="8" t="s">
        <v>233</v>
      </c>
      <c r="E22" s="7" t="s">
        <v>234</v>
      </c>
      <c r="F22" s="23" t="s">
        <v>235</v>
      </c>
      <c r="G22" s="10" t="s">
        <v>236</v>
      </c>
      <c r="H22" s="10" t="s">
        <v>237</v>
      </c>
      <c r="I22" s="24" t="s">
        <v>238</v>
      </c>
      <c r="J22" s="7" t="s">
        <v>239</v>
      </c>
      <c r="K22" s="7" t="s">
        <v>41</v>
      </c>
      <c r="L22" s="7" t="s">
        <v>240</v>
      </c>
      <c r="N22" s="7" t="s">
        <v>241</v>
      </c>
      <c r="O22" s="7" t="s">
        <v>242</v>
      </c>
      <c r="P22" s="7" t="s">
        <v>222</v>
      </c>
      <c r="Q22" s="12"/>
      <c r="R22" s="12"/>
      <c r="S22" s="12"/>
      <c r="T22" s="12"/>
      <c r="U22" s="13" t="str">
        <f t="shared" si="1"/>
        <v>Loading...</v>
      </c>
      <c r="V22" s="13" t="str">
        <f t="shared" si="2"/>
        <v>Loading...</v>
      </c>
      <c r="W22" s="13"/>
    </row>
    <row r="23" ht="22.5" customHeight="1">
      <c r="A23" s="6">
        <v>45965.55325196759</v>
      </c>
      <c r="B23" s="7" t="s">
        <v>211</v>
      </c>
      <c r="C23" s="7" t="s">
        <v>243</v>
      </c>
      <c r="D23" s="7" t="s">
        <v>244</v>
      </c>
      <c r="E23" s="7" t="s">
        <v>245</v>
      </c>
      <c r="F23" s="18" t="s">
        <v>246</v>
      </c>
      <c r="G23" s="25" t="s">
        <v>247</v>
      </c>
      <c r="H23" s="10" t="s">
        <v>248</v>
      </c>
      <c r="I23" s="7" t="s">
        <v>218</v>
      </c>
      <c r="J23" s="7" t="s">
        <v>180</v>
      </c>
      <c r="K23" s="7" t="s">
        <v>168</v>
      </c>
      <c r="L23" s="15" t="s">
        <v>249</v>
      </c>
      <c r="N23" s="7" t="s">
        <v>250</v>
      </c>
      <c r="O23" s="7" t="s">
        <v>251</v>
      </c>
      <c r="P23" s="7" t="s">
        <v>252</v>
      </c>
      <c r="Q23" s="12"/>
      <c r="R23" s="12"/>
      <c r="S23" s="12"/>
      <c r="U23" s="17" t="str">
        <f t="shared" si="1"/>
        <v>Loading...</v>
      </c>
      <c r="V23" s="17">
        <f t="shared" si="2"/>
        <v>0.09</v>
      </c>
      <c r="W23" s="21"/>
    </row>
    <row r="24" ht="22.5" customHeight="1">
      <c r="A24" s="6">
        <v>45962.680467199076</v>
      </c>
      <c r="B24" s="7" t="s">
        <v>211</v>
      </c>
      <c r="C24" s="8" t="s">
        <v>253</v>
      </c>
      <c r="D24" s="8" t="s">
        <v>254</v>
      </c>
      <c r="E24" s="7" t="s">
        <v>255</v>
      </c>
      <c r="F24" s="18" t="s">
        <v>256</v>
      </c>
      <c r="G24" s="10" t="s">
        <v>257</v>
      </c>
      <c r="H24" s="10" t="s">
        <v>258</v>
      </c>
      <c r="I24" s="8" t="s">
        <v>218</v>
      </c>
      <c r="J24" s="7" t="s">
        <v>259</v>
      </c>
      <c r="K24" s="7" t="s">
        <v>41</v>
      </c>
      <c r="L24" s="15" t="s">
        <v>260</v>
      </c>
      <c r="N24" s="7" t="s">
        <v>261</v>
      </c>
      <c r="O24" s="7" t="s">
        <v>262</v>
      </c>
      <c r="P24" s="12"/>
      <c r="Q24" s="12"/>
      <c r="R24" s="12"/>
      <c r="S24" s="12"/>
      <c r="U24" s="13" t="str">
        <f t="shared" si="1"/>
        <v>Loading...</v>
      </c>
      <c r="V24" s="13" t="str">
        <f t="shared" si="2"/>
        <v>Loading...</v>
      </c>
      <c r="W24" s="13"/>
    </row>
    <row r="25" ht="22.5" customHeight="1">
      <c r="A25" s="6">
        <v>45962.690968483796</v>
      </c>
      <c r="B25" s="7" t="s">
        <v>211</v>
      </c>
      <c r="C25" s="8" t="s">
        <v>263</v>
      </c>
      <c r="D25" s="8" t="s">
        <v>264</v>
      </c>
      <c r="E25" s="7" t="s">
        <v>265</v>
      </c>
      <c r="F25" s="10" t="s">
        <v>266</v>
      </c>
      <c r="G25" s="23" t="s">
        <v>267</v>
      </c>
      <c r="H25" s="10" t="s">
        <v>268</v>
      </c>
      <c r="I25" s="8" t="s">
        <v>218</v>
      </c>
      <c r="J25" s="7" t="s">
        <v>259</v>
      </c>
      <c r="K25" s="7" t="s">
        <v>41</v>
      </c>
      <c r="L25" s="15" t="s">
        <v>269</v>
      </c>
      <c r="N25" s="7" t="s">
        <v>270</v>
      </c>
      <c r="O25" s="7" t="s">
        <v>271</v>
      </c>
      <c r="P25" s="12"/>
      <c r="Q25" s="12"/>
      <c r="R25" s="12"/>
      <c r="S25" s="12"/>
      <c r="U25" s="13" t="str">
        <f t="shared" si="1"/>
        <v>Loading...</v>
      </c>
      <c r="V25" s="13" t="str">
        <f t="shared" si="2"/>
        <v>Loading...</v>
      </c>
      <c r="W25" s="13"/>
    </row>
    <row r="26" ht="22.5" customHeight="1">
      <c r="A26" s="6">
        <v>45962.75772594908</v>
      </c>
      <c r="B26" s="7" t="s">
        <v>211</v>
      </c>
      <c r="C26" s="8" t="s">
        <v>272</v>
      </c>
      <c r="D26" s="8" t="s">
        <v>273</v>
      </c>
      <c r="E26" s="7" t="s">
        <v>274</v>
      </c>
      <c r="F26" s="10" t="s">
        <v>275</v>
      </c>
      <c r="G26" s="10" t="s">
        <v>276</v>
      </c>
      <c r="H26" s="10" t="s">
        <v>277</v>
      </c>
      <c r="I26" s="8" t="s">
        <v>218</v>
      </c>
      <c r="J26" s="7" t="s">
        <v>278</v>
      </c>
      <c r="K26" s="7" t="s">
        <v>41</v>
      </c>
      <c r="L26" s="15" t="s">
        <v>279</v>
      </c>
      <c r="N26" s="7" t="s">
        <v>280</v>
      </c>
      <c r="O26" s="7" t="s">
        <v>281</v>
      </c>
      <c r="P26" s="12"/>
      <c r="Q26" s="12"/>
      <c r="R26" s="12"/>
      <c r="S26" s="12"/>
      <c r="U26" s="13" t="str">
        <f t="shared" si="1"/>
        <v>Loading...</v>
      </c>
      <c r="V26" s="13" t="str">
        <f t="shared" si="2"/>
        <v>Loading...</v>
      </c>
      <c r="W26" s="13"/>
    </row>
    <row r="27" ht="22.5" customHeight="1">
      <c r="A27" s="6">
        <v>45962.76769828703</v>
      </c>
      <c r="B27" s="7" t="s">
        <v>211</v>
      </c>
      <c r="C27" s="8" t="s">
        <v>282</v>
      </c>
      <c r="D27" s="8" t="s">
        <v>283</v>
      </c>
      <c r="E27" s="7" t="s">
        <v>284</v>
      </c>
      <c r="F27" s="10" t="s">
        <v>285</v>
      </c>
      <c r="G27" s="10" t="s">
        <v>286</v>
      </c>
      <c r="H27" s="18" t="s">
        <v>287</v>
      </c>
      <c r="I27" s="8" t="s">
        <v>218</v>
      </c>
      <c r="J27" s="7" t="s">
        <v>278</v>
      </c>
      <c r="K27" s="7" t="s">
        <v>288</v>
      </c>
      <c r="L27" s="15" t="s">
        <v>289</v>
      </c>
      <c r="N27" s="7" t="s">
        <v>290</v>
      </c>
      <c r="O27" s="7" t="s">
        <v>291</v>
      </c>
      <c r="P27" s="12"/>
      <c r="Q27" s="12"/>
      <c r="R27" s="12"/>
      <c r="S27" s="12"/>
      <c r="U27" s="13" t="str">
        <f t="shared" si="1"/>
        <v>Loading...</v>
      </c>
      <c r="V27" s="13" t="str">
        <f t="shared" si="2"/>
        <v>Loading...</v>
      </c>
      <c r="W27" s="13"/>
    </row>
    <row r="28" ht="22.5" customHeight="1">
      <c r="A28" s="6">
        <v>45964.856173356486</v>
      </c>
      <c r="B28" s="7" t="s">
        <v>211</v>
      </c>
      <c r="C28" s="7" t="s">
        <v>292</v>
      </c>
      <c r="D28" s="7" t="s">
        <v>293</v>
      </c>
      <c r="E28" s="7" t="s">
        <v>294</v>
      </c>
      <c r="F28" s="10" t="s">
        <v>295</v>
      </c>
      <c r="G28" s="10" t="s">
        <v>296</v>
      </c>
      <c r="H28" s="18" t="s">
        <v>297</v>
      </c>
      <c r="I28" s="7" t="s">
        <v>238</v>
      </c>
      <c r="J28" s="7" t="s">
        <v>278</v>
      </c>
      <c r="K28" s="7" t="s">
        <v>30</v>
      </c>
      <c r="L28" s="15" t="s">
        <v>42</v>
      </c>
      <c r="N28" s="7" t="s">
        <v>298</v>
      </c>
      <c r="O28" s="7" t="s">
        <v>299</v>
      </c>
      <c r="P28" s="12"/>
      <c r="Q28" s="12"/>
      <c r="R28" s="12"/>
      <c r="S28" s="12"/>
      <c r="U28" s="13" t="str">
        <f t="shared" si="1"/>
        <v>Loading...</v>
      </c>
      <c r="V28" s="13" t="str">
        <f t="shared" si="2"/>
        <v>Loading...</v>
      </c>
      <c r="W28" s="13"/>
    </row>
    <row r="29" ht="22.5" customHeight="1">
      <c r="A29" s="6">
        <v>45964.86003099537</v>
      </c>
      <c r="B29" s="7" t="s">
        <v>211</v>
      </c>
      <c r="C29" s="7" t="s">
        <v>300</v>
      </c>
      <c r="D29" s="7" t="s">
        <v>301</v>
      </c>
      <c r="E29" s="7" t="s">
        <v>302</v>
      </c>
      <c r="F29" s="18" t="s">
        <v>303</v>
      </c>
      <c r="G29" s="10" t="s">
        <v>304</v>
      </c>
      <c r="H29" s="16" t="s">
        <v>305</v>
      </c>
      <c r="I29" s="7" t="s">
        <v>218</v>
      </c>
      <c r="J29" s="7" t="s">
        <v>278</v>
      </c>
      <c r="K29" s="7" t="s">
        <v>168</v>
      </c>
      <c r="L29" s="15" t="s">
        <v>306</v>
      </c>
      <c r="N29" s="7" t="s">
        <v>307</v>
      </c>
      <c r="O29" s="7" t="s">
        <v>308</v>
      </c>
      <c r="P29" s="12"/>
      <c r="Q29" s="12"/>
      <c r="R29" s="12"/>
      <c r="S29" s="12"/>
      <c r="U29" s="13" t="str">
        <f t="shared" si="1"/>
        <v>Loading...</v>
      </c>
      <c r="V29" s="13" t="str">
        <f t="shared" si="2"/>
        <v>Loading...</v>
      </c>
      <c r="W29" s="13"/>
    </row>
    <row r="30" ht="22.5" customHeight="1">
      <c r="A30" s="6">
        <v>45964.89335268519</v>
      </c>
      <c r="B30" s="7" t="s">
        <v>211</v>
      </c>
      <c r="C30" s="7" t="s">
        <v>309</v>
      </c>
      <c r="D30" s="7" t="s">
        <v>310</v>
      </c>
      <c r="E30" s="7" t="s">
        <v>311</v>
      </c>
      <c r="F30" s="10" t="s">
        <v>312</v>
      </c>
      <c r="G30" s="10" t="s">
        <v>313</v>
      </c>
      <c r="H30" s="18" t="s">
        <v>314</v>
      </c>
      <c r="I30" s="7" t="s">
        <v>238</v>
      </c>
      <c r="J30" s="7" t="s">
        <v>180</v>
      </c>
      <c r="K30" s="7" t="s">
        <v>315</v>
      </c>
      <c r="L30" s="15" t="s">
        <v>316</v>
      </c>
      <c r="N30" s="7" t="s">
        <v>317</v>
      </c>
      <c r="O30" s="7" t="s">
        <v>318</v>
      </c>
      <c r="P30" s="12"/>
      <c r="Q30" s="12"/>
      <c r="R30" s="12"/>
      <c r="S30" s="12"/>
      <c r="U30" s="17" t="str">
        <f t="shared" si="1"/>
        <v>Loading...</v>
      </c>
      <c r="V30" s="13" t="str">
        <f t="shared" si="2"/>
        <v>Loading...</v>
      </c>
      <c r="W30" s="13"/>
    </row>
    <row r="31" ht="22.5" customHeight="1">
      <c r="A31" s="6">
        <v>45965.777433888885</v>
      </c>
      <c r="B31" s="7" t="s">
        <v>211</v>
      </c>
      <c r="C31" s="7" t="s">
        <v>319</v>
      </c>
      <c r="D31" s="7" t="s">
        <v>320</v>
      </c>
      <c r="E31" s="7" t="s">
        <v>321</v>
      </c>
      <c r="F31" s="10" t="s">
        <v>322</v>
      </c>
      <c r="G31" s="10" t="s">
        <v>323</v>
      </c>
      <c r="H31" s="10" t="s">
        <v>324</v>
      </c>
      <c r="I31" s="7" t="s">
        <v>218</v>
      </c>
      <c r="J31" s="7" t="s">
        <v>278</v>
      </c>
      <c r="K31" s="7" t="s">
        <v>30</v>
      </c>
      <c r="L31" s="15" t="s">
        <v>325</v>
      </c>
      <c r="N31" s="7" t="s">
        <v>326</v>
      </c>
      <c r="O31" s="7" t="s">
        <v>327</v>
      </c>
      <c r="P31" s="7" t="s">
        <v>95</v>
      </c>
      <c r="Q31" s="12"/>
      <c r="R31" s="12"/>
      <c r="S31" s="12"/>
      <c r="U31" s="17" t="str">
        <f t="shared" si="1"/>
        <v>Loading...</v>
      </c>
      <c r="V31" s="17" t="str">
        <f t="shared" si="2"/>
        <v>Loading...</v>
      </c>
      <c r="W31" s="21"/>
    </row>
    <row r="32" ht="22.5" customHeight="1">
      <c r="A32" s="6">
        <v>45965.78585724537</v>
      </c>
      <c r="B32" s="7" t="s">
        <v>211</v>
      </c>
      <c r="C32" s="7" t="s">
        <v>328</v>
      </c>
      <c r="D32" s="7" t="s">
        <v>329</v>
      </c>
      <c r="E32" s="7" t="s">
        <v>330</v>
      </c>
      <c r="F32" s="10" t="s">
        <v>331</v>
      </c>
      <c r="G32" s="10" t="s">
        <v>332</v>
      </c>
      <c r="H32" s="16" t="s">
        <v>333</v>
      </c>
      <c r="I32" s="7" t="s">
        <v>238</v>
      </c>
      <c r="J32" s="7" t="s">
        <v>278</v>
      </c>
      <c r="K32" s="7" t="s">
        <v>30</v>
      </c>
      <c r="L32" s="15" t="s">
        <v>334</v>
      </c>
      <c r="N32" s="7" t="s">
        <v>335</v>
      </c>
      <c r="O32" s="7" t="s">
        <v>336</v>
      </c>
      <c r="P32" s="7" t="s">
        <v>95</v>
      </c>
      <c r="Q32" s="12"/>
      <c r="R32" s="12"/>
      <c r="S32" s="12"/>
      <c r="U32" s="17" t="str">
        <f t="shared" si="1"/>
        <v>Loading...</v>
      </c>
      <c r="V32" s="17" t="str">
        <f t="shared" si="2"/>
        <v>Loading...</v>
      </c>
      <c r="W32" s="21"/>
    </row>
    <row r="33" ht="22.5" customHeight="1">
      <c r="A33" s="6">
        <v>45966.15542136574</v>
      </c>
      <c r="B33" s="7" t="s">
        <v>211</v>
      </c>
      <c r="C33" s="7" t="s">
        <v>337</v>
      </c>
      <c r="D33" s="7" t="s">
        <v>338</v>
      </c>
      <c r="E33" s="7" t="s">
        <v>339</v>
      </c>
      <c r="F33" s="10" t="s">
        <v>340</v>
      </c>
      <c r="G33" s="10" t="s">
        <v>341</v>
      </c>
      <c r="H33" s="16" t="s">
        <v>341</v>
      </c>
      <c r="I33" s="7" t="s">
        <v>218</v>
      </c>
      <c r="J33" s="7" t="s">
        <v>180</v>
      </c>
      <c r="K33" s="7" t="s">
        <v>41</v>
      </c>
      <c r="L33" s="15" t="s">
        <v>342</v>
      </c>
      <c r="N33" s="7" t="s">
        <v>343</v>
      </c>
      <c r="O33" s="7" t="s">
        <v>344</v>
      </c>
      <c r="P33" s="7" t="s">
        <v>345</v>
      </c>
      <c r="U33" s="17" t="str">
        <f t="shared" si="1"/>
        <v>Loading...</v>
      </c>
      <c r="V33" s="17" t="str">
        <f t="shared" si="2"/>
        <v>Loading...</v>
      </c>
      <c r="W33" s="21"/>
    </row>
    <row r="34" ht="22.5" customHeight="1">
      <c r="A34" s="6">
        <v>45966.24933918982</v>
      </c>
      <c r="B34" s="7" t="s">
        <v>211</v>
      </c>
      <c r="C34" s="7" t="s">
        <v>346</v>
      </c>
      <c r="D34" s="7" t="s">
        <v>347</v>
      </c>
      <c r="E34" s="7" t="s">
        <v>348</v>
      </c>
      <c r="F34" s="10" t="s">
        <v>349</v>
      </c>
      <c r="G34" s="10" t="s">
        <v>350</v>
      </c>
      <c r="H34" s="10" t="s">
        <v>350</v>
      </c>
      <c r="I34" s="7" t="s">
        <v>218</v>
      </c>
      <c r="J34" s="7" t="s">
        <v>180</v>
      </c>
      <c r="K34" s="7" t="s">
        <v>41</v>
      </c>
      <c r="L34" s="15" t="s">
        <v>351</v>
      </c>
      <c r="N34" s="7" t="s">
        <v>352</v>
      </c>
      <c r="O34" s="7" t="s">
        <v>353</v>
      </c>
      <c r="P34" s="7" t="s">
        <v>354</v>
      </c>
      <c r="R34" s="26"/>
      <c r="U34" s="17" t="str">
        <f t="shared" si="1"/>
        <v>Loading...</v>
      </c>
      <c r="V34" s="17" t="str">
        <f t="shared" si="2"/>
        <v>Loading...</v>
      </c>
      <c r="W34" s="21"/>
    </row>
    <row r="35" ht="22.5" customHeight="1">
      <c r="A35" s="6">
        <v>45966.45460355324</v>
      </c>
      <c r="B35" s="7" t="s">
        <v>211</v>
      </c>
      <c r="C35" s="7" t="s">
        <v>355</v>
      </c>
      <c r="D35" s="7" t="s">
        <v>356</v>
      </c>
      <c r="E35" s="7" t="s">
        <v>357</v>
      </c>
      <c r="F35" s="10" t="s">
        <v>358</v>
      </c>
      <c r="G35" s="10" t="s">
        <v>359</v>
      </c>
      <c r="H35" s="10" t="s">
        <v>360</v>
      </c>
      <c r="I35" s="7" t="s">
        <v>238</v>
      </c>
      <c r="J35" s="7" t="s">
        <v>361</v>
      </c>
      <c r="K35" s="7" t="s">
        <v>144</v>
      </c>
      <c r="L35" s="15" t="s">
        <v>362</v>
      </c>
      <c r="N35" s="7" t="s">
        <v>363</v>
      </c>
      <c r="O35" s="7" t="s">
        <v>364</v>
      </c>
      <c r="P35" s="7" t="s">
        <v>365</v>
      </c>
      <c r="U35" s="17" t="str">
        <f t="shared" si="1"/>
        <v>Loading...</v>
      </c>
      <c r="V35" s="17" t="str">
        <f t="shared" si="2"/>
        <v>Loading...</v>
      </c>
      <c r="W35" s="21"/>
    </row>
    <row r="36" ht="22.5" customHeight="1">
      <c r="A36" s="6">
        <v>45968.15562892361</v>
      </c>
      <c r="B36" s="7" t="s">
        <v>211</v>
      </c>
      <c r="C36" s="7" t="s">
        <v>366</v>
      </c>
      <c r="D36" s="7" t="s">
        <v>367</v>
      </c>
      <c r="E36" s="7" t="s">
        <v>368</v>
      </c>
      <c r="F36" s="10" t="s">
        <v>369</v>
      </c>
      <c r="G36" s="10" t="s">
        <v>370</v>
      </c>
      <c r="H36" s="10" t="s">
        <v>371</v>
      </c>
      <c r="I36" s="7" t="s">
        <v>218</v>
      </c>
      <c r="J36" s="7" t="s">
        <v>180</v>
      </c>
      <c r="K36" s="7" t="s">
        <v>41</v>
      </c>
      <c r="L36" s="15" t="s">
        <v>372</v>
      </c>
      <c r="N36" s="7" t="s">
        <v>373</v>
      </c>
      <c r="O36" s="7" t="s">
        <v>374</v>
      </c>
      <c r="P36" s="7" t="s">
        <v>375</v>
      </c>
      <c r="U36" s="17" t="str">
        <f t="shared" si="1"/>
        <v>Loading...</v>
      </c>
      <c r="V36" s="17" t="str">
        <f t="shared" si="2"/>
        <v>Loading...</v>
      </c>
    </row>
    <row r="37" ht="22.5" customHeight="1">
      <c r="A37" s="6">
        <v>45968.80309158565</v>
      </c>
      <c r="B37" s="7" t="s">
        <v>211</v>
      </c>
      <c r="C37" s="7" t="s">
        <v>376</v>
      </c>
      <c r="D37" s="7" t="s">
        <v>377</v>
      </c>
      <c r="E37" s="7" t="s">
        <v>378</v>
      </c>
      <c r="F37" s="10" t="s">
        <v>379</v>
      </c>
      <c r="G37" s="10" t="s">
        <v>380</v>
      </c>
      <c r="H37" s="10" t="s">
        <v>381</v>
      </c>
      <c r="I37" s="7" t="s">
        <v>218</v>
      </c>
      <c r="J37" s="7" t="s">
        <v>180</v>
      </c>
      <c r="K37" s="7" t="s">
        <v>52</v>
      </c>
      <c r="L37" s="15" t="s">
        <v>382</v>
      </c>
      <c r="N37" s="7" t="s">
        <v>383</v>
      </c>
      <c r="O37" s="7" t="s">
        <v>384</v>
      </c>
      <c r="P37" s="7" t="s">
        <v>107</v>
      </c>
      <c r="U37" s="17" t="str">
        <f t="shared" si="1"/>
        <v>Loading...</v>
      </c>
      <c r="V37" s="17" t="str">
        <f t="shared" si="2"/>
        <v>Loading...</v>
      </c>
    </row>
    <row r="38" ht="22.5" customHeight="1">
      <c r="A38" s="6">
        <v>45973.95247222223</v>
      </c>
      <c r="B38" s="7" t="s">
        <v>211</v>
      </c>
      <c r="C38" s="7" t="s">
        <v>385</v>
      </c>
      <c r="D38" s="7" t="s">
        <v>386</v>
      </c>
      <c r="E38" s="7" t="s">
        <v>387</v>
      </c>
      <c r="F38" s="10" t="s">
        <v>388</v>
      </c>
      <c r="G38" s="10" t="s">
        <v>389</v>
      </c>
      <c r="H38" s="10" t="s">
        <v>390</v>
      </c>
      <c r="I38" s="7" t="s">
        <v>218</v>
      </c>
      <c r="J38" s="7" t="s">
        <v>180</v>
      </c>
      <c r="K38" s="7" t="s">
        <v>168</v>
      </c>
      <c r="L38" s="15" t="s">
        <v>391</v>
      </c>
      <c r="N38" s="7" t="s">
        <v>392</v>
      </c>
      <c r="O38" s="7" t="s">
        <v>393</v>
      </c>
      <c r="P38" s="7" t="s">
        <v>394</v>
      </c>
      <c r="U38" s="17" t="str">
        <f t="shared" si="1"/>
        <v>Loading...</v>
      </c>
      <c r="V38" s="17" t="str">
        <f t="shared" si="2"/>
        <v>Loading...</v>
      </c>
    </row>
    <row r="39" ht="22.5" customHeight="1">
      <c r="A39" s="6">
        <v>45973.95894170139</v>
      </c>
      <c r="B39" s="7" t="s">
        <v>211</v>
      </c>
      <c r="C39" s="7" t="s">
        <v>395</v>
      </c>
      <c r="D39" s="7" t="s">
        <v>396</v>
      </c>
      <c r="E39" s="7" t="s">
        <v>397</v>
      </c>
      <c r="F39" s="10" t="s">
        <v>398</v>
      </c>
      <c r="G39" s="10" t="s">
        <v>399</v>
      </c>
      <c r="H39" s="10" t="s">
        <v>400</v>
      </c>
      <c r="I39" s="7" t="s">
        <v>218</v>
      </c>
      <c r="J39" s="7" t="s">
        <v>180</v>
      </c>
      <c r="K39" s="7" t="s">
        <v>168</v>
      </c>
      <c r="L39" s="15" t="s">
        <v>401</v>
      </c>
      <c r="N39" s="7" t="s">
        <v>402</v>
      </c>
      <c r="O39" s="7" t="s">
        <v>403</v>
      </c>
      <c r="P39" s="7" t="s">
        <v>394</v>
      </c>
      <c r="U39" s="17">
        <f t="shared" si="1"/>
        <v>200</v>
      </c>
      <c r="V39" s="17" t="str">
        <f t="shared" si="2"/>
        <v>Loading...</v>
      </c>
    </row>
    <row r="40" ht="22.5" customHeight="1">
      <c r="A40" s="6">
        <v>45973.96275752315</v>
      </c>
      <c r="B40" s="7" t="s">
        <v>211</v>
      </c>
      <c r="C40" s="7" t="s">
        <v>404</v>
      </c>
      <c r="D40" s="7" t="s">
        <v>405</v>
      </c>
      <c r="E40" s="7" t="s">
        <v>406</v>
      </c>
      <c r="F40" s="10" t="s">
        <v>407</v>
      </c>
      <c r="G40" s="10" t="s">
        <v>408</v>
      </c>
      <c r="H40" s="10" t="s">
        <v>409</v>
      </c>
      <c r="I40" s="7" t="s">
        <v>218</v>
      </c>
      <c r="J40" s="7" t="s">
        <v>180</v>
      </c>
      <c r="K40" s="7" t="s">
        <v>168</v>
      </c>
      <c r="L40" s="15" t="s">
        <v>410</v>
      </c>
      <c r="N40" s="7" t="s">
        <v>411</v>
      </c>
      <c r="O40" s="7" t="s">
        <v>412</v>
      </c>
      <c r="P40" s="7" t="s">
        <v>394</v>
      </c>
      <c r="U40" s="17" t="str">
        <f t="shared" si="1"/>
        <v>Loading...</v>
      </c>
      <c r="V40" s="17" t="str">
        <f t="shared" si="2"/>
        <v>Loading...</v>
      </c>
    </row>
    <row r="41" ht="23.25" customHeight="1">
      <c r="A41" s="6">
        <v>45974.24592392361</v>
      </c>
      <c r="B41" s="7" t="s">
        <v>211</v>
      </c>
      <c r="C41" s="7" t="s">
        <v>413</v>
      </c>
      <c r="D41" s="7" t="s">
        <v>414</v>
      </c>
      <c r="E41" s="7" t="s">
        <v>415</v>
      </c>
      <c r="F41" s="10" t="s">
        <v>416</v>
      </c>
      <c r="G41" s="10" t="s">
        <v>417</v>
      </c>
      <c r="H41" s="10" t="s">
        <v>418</v>
      </c>
      <c r="I41" s="7" t="s">
        <v>419</v>
      </c>
      <c r="J41" s="7" t="s">
        <v>180</v>
      </c>
      <c r="K41" s="7" t="s">
        <v>420</v>
      </c>
      <c r="L41" s="15" t="s">
        <v>421</v>
      </c>
      <c r="N41" s="7" t="s">
        <v>422</v>
      </c>
      <c r="O41" s="7" t="s">
        <v>423</v>
      </c>
      <c r="P41" s="7" t="s">
        <v>424</v>
      </c>
      <c r="U41" s="17" t="str">
        <f t="shared" si="1"/>
        <v>Loading...</v>
      </c>
      <c r="V41" s="17" t="str">
        <f t="shared" si="2"/>
        <v>Loading...</v>
      </c>
    </row>
    <row r="42" ht="22.5" customHeight="1">
      <c r="A42" s="6">
        <v>45974.26011832176</v>
      </c>
      <c r="B42" s="7" t="s">
        <v>211</v>
      </c>
      <c r="C42" s="7" t="s">
        <v>425</v>
      </c>
      <c r="D42" s="7" t="s">
        <v>426</v>
      </c>
      <c r="E42" s="7" t="s">
        <v>427</v>
      </c>
      <c r="F42" s="10" t="s">
        <v>428</v>
      </c>
      <c r="G42" s="10" t="s">
        <v>429</v>
      </c>
      <c r="H42" s="10" t="s">
        <v>430</v>
      </c>
      <c r="I42" s="7" t="s">
        <v>419</v>
      </c>
      <c r="J42" s="7" t="s">
        <v>180</v>
      </c>
      <c r="K42" s="7" t="s">
        <v>420</v>
      </c>
      <c r="L42" s="15" t="s">
        <v>431</v>
      </c>
      <c r="N42" s="7" t="s">
        <v>432</v>
      </c>
      <c r="O42" s="7" t="s">
        <v>433</v>
      </c>
      <c r="P42" s="7" t="s">
        <v>424</v>
      </c>
      <c r="U42" s="17" t="str">
        <f t="shared" si="1"/>
        <v>Loading...</v>
      </c>
      <c r="V42" s="17" t="str">
        <f t="shared" si="2"/>
        <v>Loading...</v>
      </c>
    </row>
    <row r="43" ht="22.5" customHeight="1">
      <c r="A43" s="6">
        <v>45974.267586875</v>
      </c>
      <c r="B43" s="7" t="s">
        <v>211</v>
      </c>
      <c r="C43" s="7" t="s">
        <v>434</v>
      </c>
      <c r="D43" s="7" t="s">
        <v>435</v>
      </c>
      <c r="E43" s="7" t="s">
        <v>436</v>
      </c>
      <c r="F43" s="23" t="s">
        <v>437</v>
      </c>
      <c r="G43" s="10" t="s">
        <v>438</v>
      </c>
      <c r="H43" s="10" t="s">
        <v>439</v>
      </c>
      <c r="I43" s="7" t="s">
        <v>419</v>
      </c>
      <c r="J43" s="7" t="s">
        <v>180</v>
      </c>
      <c r="K43" s="7" t="s">
        <v>420</v>
      </c>
      <c r="L43" s="15" t="s">
        <v>440</v>
      </c>
      <c r="N43" s="7" t="s">
        <v>441</v>
      </c>
      <c r="O43" s="7" t="s">
        <v>442</v>
      </c>
      <c r="P43" s="7" t="s">
        <v>424</v>
      </c>
      <c r="U43" s="17" t="str">
        <f t="shared" si="1"/>
        <v>Loading...</v>
      </c>
      <c r="V43" s="17" t="str">
        <f t="shared" si="2"/>
        <v>Loading...</v>
      </c>
    </row>
    <row r="44" ht="22.5" customHeight="1">
      <c r="A44" s="6">
        <v>45974.27357578704</v>
      </c>
      <c r="B44" s="7" t="s">
        <v>211</v>
      </c>
      <c r="C44" s="7" t="s">
        <v>443</v>
      </c>
      <c r="D44" s="7" t="s">
        <v>444</v>
      </c>
      <c r="E44" s="7" t="s">
        <v>445</v>
      </c>
      <c r="F44" s="18" t="s">
        <v>446</v>
      </c>
      <c r="G44" s="10" t="s">
        <v>447</v>
      </c>
      <c r="H44" s="10" t="s">
        <v>448</v>
      </c>
      <c r="I44" s="7" t="s">
        <v>419</v>
      </c>
      <c r="J44" s="7" t="s">
        <v>180</v>
      </c>
      <c r="K44" s="7" t="s">
        <v>420</v>
      </c>
      <c r="L44" s="15" t="s">
        <v>440</v>
      </c>
      <c r="N44" s="7" t="s">
        <v>449</v>
      </c>
      <c r="O44" s="7" t="s">
        <v>450</v>
      </c>
      <c r="P44" s="7" t="s">
        <v>424</v>
      </c>
      <c r="U44" s="17" t="str">
        <f t="shared" si="1"/>
        <v>Loading...</v>
      </c>
      <c r="V44" s="17" t="str">
        <f t="shared" si="2"/>
        <v>Loading...</v>
      </c>
    </row>
    <row r="45" ht="22.5" customHeight="1">
      <c r="A45" s="6">
        <v>45965.79996599537</v>
      </c>
      <c r="B45" s="7" t="s">
        <v>451</v>
      </c>
      <c r="C45" s="7" t="s">
        <v>452</v>
      </c>
      <c r="D45" s="7" t="s">
        <v>453</v>
      </c>
      <c r="E45" s="7" t="s">
        <v>454</v>
      </c>
      <c r="F45" s="10" t="s">
        <v>455</v>
      </c>
      <c r="G45" s="10" t="s">
        <v>456</v>
      </c>
      <c r="H45" s="10" t="s">
        <v>457</v>
      </c>
      <c r="I45" s="7" t="s">
        <v>218</v>
      </c>
      <c r="J45" s="7" t="s">
        <v>167</v>
      </c>
      <c r="K45" s="7" t="s">
        <v>52</v>
      </c>
      <c r="L45" s="15" t="s">
        <v>458</v>
      </c>
      <c r="N45" s="7" t="s">
        <v>459</v>
      </c>
      <c r="O45" s="7" t="s">
        <v>460</v>
      </c>
      <c r="P45" s="7" t="s">
        <v>95</v>
      </c>
      <c r="Q45" s="12"/>
      <c r="R45" s="12"/>
      <c r="S45" s="12"/>
      <c r="U45" s="17" t="str">
        <f t="shared" si="1"/>
        <v>Loading...</v>
      </c>
      <c r="V45" s="17" t="str">
        <f t="shared" si="2"/>
        <v>Loading...</v>
      </c>
      <c r="W45" s="21"/>
    </row>
    <row r="46" ht="22.5" customHeight="1">
      <c r="A46" s="6">
        <v>45962.780607939814</v>
      </c>
      <c r="B46" s="7" t="s">
        <v>451</v>
      </c>
      <c r="C46" s="8" t="s">
        <v>461</v>
      </c>
      <c r="D46" s="8" t="s">
        <v>462</v>
      </c>
      <c r="E46" s="7" t="s">
        <v>463</v>
      </c>
      <c r="F46" s="10" t="s">
        <v>464</v>
      </c>
      <c r="G46" s="10" t="s">
        <v>465</v>
      </c>
      <c r="H46" s="18" t="s">
        <v>466</v>
      </c>
      <c r="I46" s="8" t="s">
        <v>218</v>
      </c>
      <c r="J46" s="7" t="s">
        <v>167</v>
      </c>
      <c r="K46" s="7" t="s">
        <v>52</v>
      </c>
      <c r="L46" s="15" t="s">
        <v>467</v>
      </c>
      <c r="N46" s="7" t="s">
        <v>468</v>
      </c>
      <c r="O46" s="7" t="s">
        <v>469</v>
      </c>
      <c r="P46" s="12"/>
      <c r="Q46" s="12"/>
      <c r="R46" s="12"/>
      <c r="S46" s="12"/>
      <c r="U46" s="13" t="str">
        <f t="shared" si="1"/>
        <v>Loading...</v>
      </c>
      <c r="V46" s="13" t="str">
        <f t="shared" si="2"/>
        <v>Loading...</v>
      </c>
      <c r="W46" s="13"/>
    </row>
    <row r="47" ht="22.5" customHeight="1">
      <c r="A47" s="6">
        <v>45962.98225526621</v>
      </c>
      <c r="B47" s="7" t="s">
        <v>451</v>
      </c>
      <c r="C47" s="7" t="s">
        <v>470</v>
      </c>
      <c r="D47" s="8" t="s">
        <v>471</v>
      </c>
      <c r="E47" s="7" t="s">
        <v>472</v>
      </c>
      <c r="F47" s="10" t="s">
        <v>473</v>
      </c>
      <c r="G47" s="10" t="s">
        <v>474</v>
      </c>
      <c r="H47" s="18" t="s">
        <v>475</v>
      </c>
      <c r="I47" s="7" t="s">
        <v>218</v>
      </c>
      <c r="J47" s="7" t="s">
        <v>167</v>
      </c>
      <c r="K47" s="7" t="s">
        <v>52</v>
      </c>
      <c r="L47" s="15" t="s">
        <v>476</v>
      </c>
      <c r="N47" s="7" t="s">
        <v>477</v>
      </c>
      <c r="O47" s="7" t="s">
        <v>478</v>
      </c>
      <c r="P47" s="12"/>
      <c r="Q47" s="12"/>
      <c r="R47" s="12"/>
      <c r="S47" s="12"/>
      <c r="U47" s="13" t="str">
        <f t="shared" si="1"/>
        <v>Loading...</v>
      </c>
      <c r="V47" s="13" t="str">
        <f t="shared" si="2"/>
        <v>Loading...</v>
      </c>
      <c r="W47" s="13"/>
    </row>
    <row r="48" ht="22.5" customHeight="1">
      <c r="A48" s="6">
        <v>45962.210738877315</v>
      </c>
      <c r="B48" s="7" t="s">
        <v>451</v>
      </c>
      <c r="C48" s="8" t="s">
        <v>479</v>
      </c>
      <c r="D48" s="8" t="s">
        <v>480</v>
      </c>
      <c r="E48" s="7" t="s">
        <v>481</v>
      </c>
      <c r="F48" s="10" t="s">
        <v>482</v>
      </c>
      <c r="G48" s="10" t="s">
        <v>483</v>
      </c>
      <c r="H48" s="18" t="s">
        <v>484</v>
      </c>
      <c r="I48" s="8" t="s">
        <v>218</v>
      </c>
      <c r="J48" s="7" t="s">
        <v>167</v>
      </c>
      <c r="K48" s="7" t="s">
        <v>52</v>
      </c>
      <c r="L48" s="15" t="s">
        <v>485</v>
      </c>
      <c r="N48" s="7" t="s">
        <v>486</v>
      </c>
      <c r="O48" s="7" t="s">
        <v>487</v>
      </c>
      <c r="P48" s="12"/>
      <c r="Q48" s="12"/>
      <c r="R48" s="12"/>
      <c r="S48" s="12"/>
      <c r="U48" s="13" t="str">
        <f t="shared" si="1"/>
        <v>Loading...</v>
      </c>
      <c r="V48" s="13" t="str">
        <f t="shared" si="2"/>
        <v>Loading...</v>
      </c>
      <c r="W48" s="13"/>
    </row>
    <row r="49" ht="22.5" customHeight="1">
      <c r="A49" s="6">
        <v>45962.673469733796</v>
      </c>
      <c r="B49" s="7" t="s">
        <v>451</v>
      </c>
      <c r="C49" s="8" t="s">
        <v>488</v>
      </c>
      <c r="D49" s="8" t="s">
        <v>489</v>
      </c>
      <c r="E49" s="7" t="s">
        <v>490</v>
      </c>
      <c r="F49" s="18" t="s">
        <v>491</v>
      </c>
      <c r="G49" s="10" t="s">
        <v>492</v>
      </c>
      <c r="H49" s="18" t="s">
        <v>493</v>
      </c>
      <c r="I49" s="8" t="s">
        <v>218</v>
      </c>
      <c r="J49" s="7" t="s">
        <v>167</v>
      </c>
      <c r="K49" s="7" t="s">
        <v>91</v>
      </c>
      <c r="L49" s="15" t="s">
        <v>391</v>
      </c>
      <c r="N49" s="7" t="s">
        <v>494</v>
      </c>
      <c r="O49" s="7" t="s">
        <v>495</v>
      </c>
      <c r="P49" s="12"/>
      <c r="Q49" s="12"/>
      <c r="R49" s="12"/>
      <c r="S49" s="12"/>
      <c r="U49" s="13" t="str">
        <f t="shared" si="1"/>
        <v>Loading...</v>
      </c>
      <c r="V49" s="13" t="str">
        <f t="shared" si="2"/>
        <v>Loading...</v>
      </c>
      <c r="W49" s="13"/>
    </row>
    <row r="50" ht="22.5" customHeight="1">
      <c r="A50" s="6">
        <v>45964.924418888884</v>
      </c>
      <c r="B50" s="7" t="s">
        <v>451</v>
      </c>
      <c r="C50" s="7" t="s">
        <v>496</v>
      </c>
      <c r="D50" s="7" t="s">
        <v>497</v>
      </c>
      <c r="E50" s="7" t="s">
        <v>498</v>
      </c>
      <c r="F50" s="10" t="s">
        <v>499</v>
      </c>
      <c r="G50" s="10" t="s">
        <v>500</v>
      </c>
      <c r="H50" s="10" t="s">
        <v>501</v>
      </c>
      <c r="I50" s="7" t="s">
        <v>218</v>
      </c>
      <c r="J50" s="7" t="s">
        <v>278</v>
      </c>
      <c r="K50" s="7" t="s">
        <v>168</v>
      </c>
      <c r="L50" s="15" t="s">
        <v>391</v>
      </c>
      <c r="N50" s="7" t="s">
        <v>502</v>
      </c>
      <c r="O50" s="7" t="s">
        <v>503</v>
      </c>
      <c r="P50" s="7" t="s">
        <v>504</v>
      </c>
      <c r="Q50" s="12"/>
      <c r="R50" s="12"/>
      <c r="S50" s="12"/>
      <c r="U50" s="17" t="str">
        <f t="shared" si="1"/>
        <v>Loading...</v>
      </c>
      <c r="V50" s="17" t="str">
        <f t="shared" si="2"/>
        <v>Loading...</v>
      </c>
      <c r="W50" s="21"/>
    </row>
    <row r="51" ht="22.5" customHeight="1">
      <c r="A51" s="6">
        <v>45964.928267361116</v>
      </c>
      <c r="B51" s="7" t="s">
        <v>451</v>
      </c>
      <c r="C51" s="7" t="s">
        <v>505</v>
      </c>
      <c r="D51" s="7" t="s">
        <v>506</v>
      </c>
      <c r="E51" s="7" t="s">
        <v>507</v>
      </c>
      <c r="F51" s="10" t="s">
        <v>499</v>
      </c>
      <c r="G51" s="10" t="s">
        <v>508</v>
      </c>
      <c r="H51" s="10" t="s">
        <v>509</v>
      </c>
      <c r="I51" s="7" t="s">
        <v>218</v>
      </c>
      <c r="J51" s="7" t="s">
        <v>180</v>
      </c>
      <c r="K51" s="7" t="s">
        <v>168</v>
      </c>
      <c r="L51" s="15" t="s">
        <v>510</v>
      </c>
      <c r="N51" s="7" t="s">
        <v>511</v>
      </c>
      <c r="O51" s="7" t="s">
        <v>512</v>
      </c>
      <c r="P51" s="7" t="s">
        <v>513</v>
      </c>
      <c r="Q51" s="12"/>
      <c r="R51" s="12"/>
      <c r="S51" s="12"/>
      <c r="U51" s="17" t="str">
        <f t="shared" si="1"/>
        <v>Loading...</v>
      </c>
      <c r="V51" s="17" t="str">
        <f t="shared" si="2"/>
        <v>Loading...</v>
      </c>
      <c r="W51" s="21"/>
    </row>
    <row r="52" ht="22.5" customHeight="1">
      <c r="A52" s="6">
        <v>45966.160705902774</v>
      </c>
      <c r="B52" s="7" t="s">
        <v>451</v>
      </c>
      <c r="C52" s="7" t="s">
        <v>514</v>
      </c>
      <c r="D52" s="7" t="s">
        <v>515</v>
      </c>
      <c r="E52" s="7" t="s">
        <v>516</v>
      </c>
      <c r="F52" s="10" t="s">
        <v>517</v>
      </c>
      <c r="G52" s="10" t="s">
        <v>518</v>
      </c>
      <c r="H52" s="16" t="s">
        <v>518</v>
      </c>
      <c r="I52" s="7" t="s">
        <v>218</v>
      </c>
      <c r="J52" s="7" t="s">
        <v>180</v>
      </c>
      <c r="K52" s="7" t="s">
        <v>52</v>
      </c>
      <c r="L52" s="15" t="s">
        <v>519</v>
      </c>
      <c r="N52" s="7" t="s">
        <v>520</v>
      </c>
      <c r="O52" s="7" t="s">
        <v>521</v>
      </c>
      <c r="P52" s="7" t="s">
        <v>345</v>
      </c>
      <c r="U52" s="17">
        <f t="shared" si="1"/>
        <v>301</v>
      </c>
      <c r="V52" s="17" t="str">
        <f t="shared" si="2"/>
        <v>Loading...</v>
      </c>
      <c r="W52" s="21"/>
    </row>
    <row r="53" ht="22.5" customHeight="1">
      <c r="A53" s="6">
        <v>45968.79993300926</v>
      </c>
      <c r="B53" s="7" t="s">
        <v>451</v>
      </c>
      <c r="C53" s="7" t="s">
        <v>522</v>
      </c>
      <c r="D53" s="7" t="s">
        <v>523</v>
      </c>
      <c r="E53" s="7" t="s">
        <v>524</v>
      </c>
      <c r="F53" s="10" t="s">
        <v>525</v>
      </c>
      <c r="G53" s="7" t="s">
        <v>526</v>
      </c>
      <c r="H53" s="10" t="s">
        <v>527</v>
      </c>
      <c r="I53" s="7" t="s">
        <v>218</v>
      </c>
      <c r="J53" s="7" t="s">
        <v>278</v>
      </c>
      <c r="K53" s="7" t="s">
        <v>52</v>
      </c>
      <c r="L53" s="15" t="s">
        <v>42</v>
      </c>
      <c r="N53" s="7" t="s">
        <v>528</v>
      </c>
      <c r="O53" s="7" t="s">
        <v>529</v>
      </c>
      <c r="P53" s="7" t="s">
        <v>107</v>
      </c>
      <c r="U53" s="17" t="str">
        <f t="shared" si="1"/>
        <v>Loading...</v>
      </c>
      <c r="V53" s="17" t="str">
        <f t="shared" si="2"/>
        <v>Loading...</v>
      </c>
    </row>
    <row r="54" ht="22.5" customHeight="1">
      <c r="A54" s="6">
        <v>45971.48571835648</v>
      </c>
      <c r="B54" s="7" t="s">
        <v>451</v>
      </c>
      <c r="C54" s="7" t="s">
        <v>530</v>
      </c>
      <c r="D54" s="7" t="s">
        <v>531</v>
      </c>
      <c r="E54" s="7" t="s">
        <v>532</v>
      </c>
      <c r="F54" s="10" t="s">
        <v>533</v>
      </c>
      <c r="G54" s="10" t="s">
        <v>534</v>
      </c>
      <c r="H54" s="10" t="s">
        <v>535</v>
      </c>
      <c r="I54" s="7" t="s">
        <v>218</v>
      </c>
      <c r="J54" s="7" t="s">
        <v>536</v>
      </c>
      <c r="K54" s="7" t="s">
        <v>52</v>
      </c>
      <c r="L54" s="15" t="s">
        <v>537</v>
      </c>
      <c r="N54" s="7" t="s">
        <v>538</v>
      </c>
      <c r="O54" s="7" t="s">
        <v>539</v>
      </c>
      <c r="P54" s="7" t="s">
        <v>540</v>
      </c>
      <c r="U54" s="17" t="str">
        <f t="shared" si="1"/>
        <v>Loading...</v>
      </c>
      <c r="V54" s="17" t="str">
        <f t="shared" si="2"/>
        <v>Loading...</v>
      </c>
    </row>
    <row r="55" ht="22.5" customHeight="1">
      <c r="A55" s="6">
        <v>45971.492682083335</v>
      </c>
      <c r="B55" s="7" t="s">
        <v>451</v>
      </c>
      <c r="C55" s="7" t="s">
        <v>541</v>
      </c>
      <c r="D55" s="7" t="s">
        <v>542</v>
      </c>
      <c r="E55" s="7" t="s">
        <v>543</v>
      </c>
      <c r="F55" s="10" t="s">
        <v>544</v>
      </c>
      <c r="G55" s="10" t="s">
        <v>545</v>
      </c>
      <c r="H55" s="10" t="s">
        <v>546</v>
      </c>
      <c r="I55" s="7" t="s">
        <v>218</v>
      </c>
      <c r="J55" s="7" t="s">
        <v>536</v>
      </c>
      <c r="K55" s="7" t="s">
        <v>52</v>
      </c>
      <c r="L55" s="15" t="s">
        <v>547</v>
      </c>
      <c r="N55" s="7" t="s">
        <v>548</v>
      </c>
      <c r="O55" s="7" t="s">
        <v>549</v>
      </c>
      <c r="P55" s="7" t="s">
        <v>540</v>
      </c>
      <c r="U55" s="17" t="str">
        <f t="shared" si="1"/>
        <v>Loading...</v>
      </c>
      <c r="V55" s="17" t="str">
        <f t="shared" si="2"/>
        <v>Loading...</v>
      </c>
    </row>
    <row r="56" ht="22.5" customHeight="1">
      <c r="A56" s="27">
        <v>45961.90485893519</v>
      </c>
      <c r="B56" s="28" t="s">
        <v>550</v>
      </c>
      <c r="C56" s="29" t="s">
        <v>551</v>
      </c>
      <c r="D56" s="29" t="s">
        <v>552</v>
      </c>
      <c r="E56" s="28" t="s">
        <v>553</v>
      </c>
      <c r="F56" s="30" t="s">
        <v>554</v>
      </c>
      <c r="G56" s="30" t="s">
        <v>555</v>
      </c>
      <c r="H56" s="30" t="s">
        <v>556</v>
      </c>
      <c r="I56" s="8" t="s">
        <v>218</v>
      </c>
      <c r="J56" s="28" t="s">
        <v>180</v>
      </c>
      <c r="K56" s="28" t="s">
        <v>41</v>
      </c>
      <c r="L56" s="28" t="s">
        <v>557</v>
      </c>
      <c r="M56" s="21"/>
      <c r="N56" s="28" t="s">
        <v>558</v>
      </c>
      <c r="O56" s="28" t="s">
        <v>559</v>
      </c>
      <c r="P56" s="13"/>
      <c r="Q56" s="13"/>
      <c r="R56" s="13"/>
      <c r="S56" s="13"/>
      <c r="T56" s="13"/>
      <c r="U56" s="13" t="str">
        <f t="shared" si="1"/>
        <v>Loading...</v>
      </c>
      <c r="V56" s="13" t="str">
        <f t="shared" si="2"/>
        <v>Loading...</v>
      </c>
      <c r="W56" s="13"/>
    </row>
    <row r="57" ht="22.5" customHeight="1">
      <c r="A57" s="6">
        <v>45964.74980144676</v>
      </c>
      <c r="B57" s="7" t="s">
        <v>560</v>
      </c>
      <c r="C57" s="7" t="s">
        <v>561</v>
      </c>
      <c r="D57" s="7" t="s">
        <v>562</v>
      </c>
      <c r="E57" s="7" t="s">
        <v>563</v>
      </c>
      <c r="F57" s="10" t="s">
        <v>564</v>
      </c>
      <c r="G57" s="10" t="s">
        <v>565</v>
      </c>
      <c r="H57" s="10" t="s">
        <v>566</v>
      </c>
      <c r="I57" s="7" t="s">
        <v>567</v>
      </c>
      <c r="J57" s="7" t="s">
        <v>568</v>
      </c>
      <c r="K57" s="7" t="s">
        <v>81</v>
      </c>
      <c r="L57" s="15" t="s">
        <v>569</v>
      </c>
      <c r="N57" s="7" t="s">
        <v>570</v>
      </c>
      <c r="O57" s="7" t="s">
        <v>571</v>
      </c>
      <c r="P57" s="12"/>
      <c r="Q57" s="12"/>
      <c r="R57" s="12"/>
      <c r="S57" s="12"/>
      <c r="U57" s="13" t="str">
        <f t="shared" si="1"/>
        <v>Loading...</v>
      </c>
      <c r="V57" s="13" t="str">
        <f t="shared" si="2"/>
        <v>Loading...</v>
      </c>
      <c r="W57" s="13"/>
    </row>
    <row r="58" ht="22.5" customHeight="1">
      <c r="A58" s="6">
        <v>45964.855968159725</v>
      </c>
      <c r="B58" s="7" t="s">
        <v>560</v>
      </c>
      <c r="C58" s="7" t="s">
        <v>572</v>
      </c>
      <c r="D58" s="7" t="s">
        <v>573</v>
      </c>
      <c r="E58" s="7" t="s">
        <v>574</v>
      </c>
      <c r="F58" s="10" t="s">
        <v>575</v>
      </c>
      <c r="G58" s="10" t="s">
        <v>576</v>
      </c>
      <c r="H58" s="10" t="s">
        <v>577</v>
      </c>
      <c r="I58" s="8" t="s">
        <v>218</v>
      </c>
      <c r="J58" s="7" t="s">
        <v>63</v>
      </c>
      <c r="K58" s="7" t="s">
        <v>578</v>
      </c>
      <c r="L58" s="15" t="s">
        <v>579</v>
      </c>
      <c r="N58" s="7" t="s">
        <v>580</v>
      </c>
      <c r="O58" s="7" t="s">
        <v>581</v>
      </c>
      <c r="P58" s="12"/>
      <c r="Q58" s="12"/>
      <c r="R58" s="12"/>
      <c r="S58" s="12"/>
      <c r="U58" s="13" t="str">
        <f t="shared" si="1"/>
        <v>Loading...</v>
      </c>
      <c r="V58" s="13" t="str">
        <f t="shared" si="2"/>
        <v>Loading...</v>
      </c>
      <c r="W58" s="13"/>
    </row>
    <row r="59" ht="22.5" customHeight="1">
      <c r="A59" s="6">
        <v>45964.861641446754</v>
      </c>
      <c r="B59" s="7" t="s">
        <v>560</v>
      </c>
      <c r="C59" s="7" t="s">
        <v>582</v>
      </c>
      <c r="D59" s="7" t="s">
        <v>583</v>
      </c>
      <c r="E59" s="7" t="s">
        <v>584</v>
      </c>
      <c r="F59" s="10" t="s">
        <v>585</v>
      </c>
      <c r="G59" s="10" t="s">
        <v>586</v>
      </c>
      <c r="H59" s="10" t="s">
        <v>587</v>
      </c>
      <c r="I59" s="8" t="s">
        <v>218</v>
      </c>
      <c r="J59" s="7" t="s">
        <v>167</v>
      </c>
      <c r="K59" s="7" t="s">
        <v>52</v>
      </c>
      <c r="L59" s="15" t="s">
        <v>42</v>
      </c>
      <c r="N59" s="7" t="s">
        <v>588</v>
      </c>
      <c r="O59" s="7" t="s">
        <v>589</v>
      </c>
      <c r="P59" s="12"/>
      <c r="Q59" s="12"/>
      <c r="R59" s="12"/>
      <c r="S59" s="12"/>
      <c r="U59" s="13" t="str">
        <f t="shared" si="1"/>
        <v>Loading...</v>
      </c>
      <c r="V59" s="13" t="str">
        <f t="shared" si="2"/>
        <v>Loading...</v>
      </c>
      <c r="W59" s="13"/>
    </row>
    <row r="60" ht="22.5" customHeight="1">
      <c r="A60" s="6">
        <v>45969.82434802083</v>
      </c>
      <c r="B60" s="7" t="s">
        <v>560</v>
      </c>
      <c r="C60" s="7" t="s">
        <v>590</v>
      </c>
      <c r="D60" s="7" t="s">
        <v>591</v>
      </c>
      <c r="E60" s="7" t="s">
        <v>592</v>
      </c>
      <c r="F60" s="10" t="s">
        <v>593</v>
      </c>
      <c r="G60" s="10" t="s">
        <v>594</v>
      </c>
      <c r="H60" s="10" t="s">
        <v>595</v>
      </c>
      <c r="J60" s="7" t="s">
        <v>596</v>
      </c>
      <c r="K60" s="7" t="s">
        <v>41</v>
      </c>
      <c r="L60" s="15" t="s">
        <v>597</v>
      </c>
      <c r="N60" s="7" t="s">
        <v>598</v>
      </c>
      <c r="O60" s="7" t="s">
        <v>599</v>
      </c>
      <c r="P60" s="7" t="s">
        <v>95</v>
      </c>
      <c r="U60" s="17" t="str">
        <f t="shared" si="1"/>
        <v>Loading...</v>
      </c>
      <c r="V60" s="17" t="str">
        <f t="shared" si="2"/>
        <v>Loading...</v>
      </c>
    </row>
    <row r="61" ht="22.5" customHeight="1">
      <c r="A61" s="6">
        <v>45973.79679445602</v>
      </c>
      <c r="B61" s="7" t="s">
        <v>560</v>
      </c>
      <c r="C61" s="7" t="s">
        <v>600</v>
      </c>
      <c r="D61" s="7" t="s">
        <v>601</v>
      </c>
      <c r="E61" s="7" t="s">
        <v>602</v>
      </c>
      <c r="F61" s="10" t="s">
        <v>603</v>
      </c>
      <c r="G61" s="10" t="s">
        <v>604</v>
      </c>
      <c r="H61" s="10" t="s">
        <v>605</v>
      </c>
      <c r="I61" s="7" t="s">
        <v>606</v>
      </c>
      <c r="J61" s="7" t="s">
        <v>596</v>
      </c>
      <c r="K61" s="7" t="s">
        <v>168</v>
      </c>
      <c r="L61" s="15" t="s">
        <v>607</v>
      </c>
      <c r="N61" s="7" t="s">
        <v>608</v>
      </c>
      <c r="O61" s="7" t="s">
        <v>608</v>
      </c>
      <c r="P61" s="7" t="s">
        <v>609</v>
      </c>
      <c r="U61" s="17" t="str">
        <f t="shared" si="1"/>
        <v>Loading...</v>
      </c>
      <c r="V61" s="17" t="str">
        <f t="shared" si="2"/>
        <v>Loading...</v>
      </c>
    </row>
    <row r="62" ht="22.5" customHeight="1">
      <c r="A62" s="6">
        <v>45973.93876482639</v>
      </c>
      <c r="B62" s="7" t="s">
        <v>560</v>
      </c>
      <c r="C62" s="7" t="s">
        <v>610</v>
      </c>
      <c r="D62" s="7" t="s">
        <v>611</v>
      </c>
      <c r="E62" s="7" t="s">
        <v>612</v>
      </c>
      <c r="F62" s="10" t="s">
        <v>613</v>
      </c>
      <c r="G62" s="10" t="s">
        <v>614</v>
      </c>
      <c r="H62" s="10" t="s">
        <v>615</v>
      </c>
      <c r="J62" s="7" t="s">
        <v>596</v>
      </c>
      <c r="K62" s="7" t="s">
        <v>616</v>
      </c>
      <c r="L62" s="15" t="s">
        <v>617</v>
      </c>
      <c r="N62" s="7" t="s">
        <v>618</v>
      </c>
      <c r="O62" s="7" t="s">
        <v>619</v>
      </c>
      <c r="P62" s="7" t="s">
        <v>172</v>
      </c>
      <c r="U62" s="17" t="str">
        <f t="shared" si="1"/>
        <v>Loading...</v>
      </c>
      <c r="V62" s="17" t="str">
        <f t="shared" si="2"/>
        <v>Loading...</v>
      </c>
    </row>
    <row r="63" ht="22.5" customHeight="1">
      <c r="A63" s="6">
        <v>45973.93876482639</v>
      </c>
      <c r="B63" s="7" t="s">
        <v>560</v>
      </c>
      <c r="C63" s="7" t="s">
        <v>620</v>
      </c>
      <c r="D63" s="7" t="s">
        <v>621</v>
      </c>
      <c r="E63" s="7" t="s">
        <v>622</v>
      </c>
      <c r="F63" s="10" t="s">
        <v>613</v>
      </c>
      <c r="G63" s="10" t="s">
        <v>623</v>
      </c>
      <c r="H63" s="10" t="s">
        <v>624</v>
      </c>
      <c r="J63" s="7" t="s">
        <v>596</v>
      </c>
      <c r="K63" s="7" t="s">
        <v>168</v>
      </c>
      <c r="L63" s="15" t="s">
        <v>617</v>
      </c>
      <c r="N63" s="7" t="s">
        <v>618</v>
      </c>
      <c r="O63" s="7" t="s">
        <v>619</v>
      </c>
      <c r="P63" s="7" t="s">
        <v>172</v>
      </c>
      <c r="U63" s="17" t="str">
        <f t="shared" si="1"/>
        <v>Loading...</v>
      </c>
      <c r="V63" s="17" t="str">
        <f t="shared" si="2"/>
        <v>Loading...</v>
      </c>
    </row>
    <row r="64" ht="22.5" customHeight="1">
      <c r="A64" s="6">
        <v>45973.94144946759</v>
      </c>
      <c r="B64" s="7" t="s">
        <v>560</v>
      </c>
      <c r="C64" s="7" t="s">
        <v>625</v>
      </c>
      <c r="D64" s="7" t="s">
        <v>626</v>
      </c>
      <c r="E64" s="7" t="s">
        <v>627</v>
      </c>
      <c r="F64" s="18" t="s">
        <v>628</v>
      </c>
      <c r="G64" s="10" t="s">
        <v>629</v>
      </c>
      <c r="H64" s="10" t="s">
        <v>629</v>
      </c>
      <c r="J64" s="7" t="s">
        <v>596</v>
      </c>
      <c r="K64" s="7" t="s">
        <v>168</v>
      </c>
      <c r="L64" s="15" t="s">
        <v>630</v>
      </c>
      <c r="N64" s="7" t="s">
        <v>631</v>
      </c>
      <c r="O64" s="7" t="s">
        <v>632</v>
      </c>
      <c r="P64" s="7" t="s">
        <v>172</v>
      </c>
      <c r="U64" s="17" t="str">
        <f t="shared" si="1"/>
        <v>Loading...</v>
      </c>
      <c r="V64" s="17" t="str">
        <f t="shared" si="2"/>
        <v>Loading...</v>
      </c>
    </row>
    <row r="65" ht="22.5" customHeight="1">
      <c r="A65" s="27"/>
      <c r="B65" s="28"/>
      <c r="C65" s="29"/>
      <c r="D65" s="29"/>
      <c r="E65" s="28"/>
      <c r="F65" s="28"/>
      <c r="G65" s="28"/>
      <c r="H65" s="28"/>
      <c r="I65" s="31"/>
      <c r="J65" s="28"/>
      <c r="K65" s="28"/>
      <c r="L65" s="32"/>
      <c r="M65" s="21"/>
      <c r="N65" s="28"/>
      <c r="O65" s="28"/>
      <c r="P65" s="13"/>
      <c r="Q65" s="13"/>
      <c r="R65" s="13"/>
      <c r="S65" s="13"/>
      <c r="T65" s="13"/>
      <c r="U65" s="13"/>
      <c r="V65" s="13"/>
      <c r="W65" s="13"/>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33"/>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29"/>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33 H36:H122">
    <cfRule type="expression" dxfId="0" priority="4">
      <formula>U2=200</formula>
    </cfRule>
  </conditionalFormatting>
  <conditionalFormatting sqref="H2:H33 H36:H122">
    <cfRule type="expression" dxfId="1" priority="5">
      <formula>U2=404</formula>
    </cfRule>
  </conditionalFormatting>
  <conditionalFormatting sqref="H2:H33 H36: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ref="H30"/>
    <hyperlink r:id="rId87" ref="F31"/>
    <hyperlink r:id="rId88" ref="G31"/>
    <hyperlink r:id="rId89" location="/metadata/a2f0891b-763a-49e9-af1b-78ed78b16982"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ARIOS</v>
      </c>
      <c r="D10" s="36" t="str">
        <f>HLOOKUP(D$1,google_form!$1:$183,$A10,FALSE)</f>
        <v>Padin et al. (2020)</v>
      </c>
      <c r="E10" s="40" t="str">
        <f>HLOOKUP(E$1,google_form!$1:$183,$A10,FALSE)</f>
        <v>https://essd.copernicus.org/articles/12/2647/2020/essd-12-2647-2020-f01-web.png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discrete</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1976-2018</v>
      </c>
      <c r="R10" s="36" t="str">
        <f>HLOOKUP(R$1,google_form!$1:$183,$A10,FALSE)</f>
        <v>Data product of 17,653 samples from 3,343 stations measuring pH, alkalinity, and biogeochemical parameters off NW Iberian Peninsula (1976-2018). Data primarily from Ría de Vigo, spanning Bay of Biscay to Portuguese coast across 24 cruise projects.</v>
      </c>
      <c r="S10" s="36" t="str">
        <f>HLOOKUP(S$1,google_form!$1:$183,$A10,FALSE)</f>
        <v>Padin et al. (2020)</v>
      </c>
      <c r="T10" s="40" t="str">
        <f>HLOOKUP(T$1,google_form!$1:$183,$A10,FALSE)</f>
        <v>https://doi.org/10.5194/essd-12-2647-2020</v>
      </c>
      <c r="U10" s="40" t="str">
        <f>HLOOKUP(U$1,google_form!$1:$183,$A10,FALSE)</f>
        <v>https://doi.org/10.20350/digitalCSIC/12498</v>
      </c>
      <c r="V10" s="36" t="str">
        <f t="shared" si="10"/>
        <v>Description</v>
      </c>
      <c r="W10" s="36" t="str">
        <f>HLOOKUP(W$1,google_form!$1:$183,$A10,FALSE)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6" t="str">
        <f t="shared" si="11"/>
        <v>Reference</v>
      </c>
      <c r="Y10" s="36" t="str">
        <f>HLOOKUP(Y$1,google_form!$1:$183,$A10,FALSE)</f>
        <v>Padin, X.A., Velo, A., Pérez, F.F., 2020. ARIOS: a database for ocean acidification assessment in the Iberian upwelling system (1976–2018). Earth Syst. Sci. Data 12, 2647–2663. https://doi.org/10.5194/essd-12-2647-2020</v>
      </c>
    </row>
    <row r="11">
      <c r="A11" s="36">
        <v>10.0</v>
      </c>
      <c r="B11" s="36" t="str">
        <f>HLOOKUP(B$1,google_form!$1:$183,$A11,FALSE)</f>
        <v>Data compilations</v>
      </c>
      <c r="C11" s="36" t="str">
        <f>HLOOKUP(C$1,google_form!$1:$183,$A11,FALSE)</f>
        <v>Marine Inorganic Carbonate Chemistry in the Northern Gulf of Alaska</v>
      </c>
      <c r="D11" s="36" t="str">
        <f>HLOOKUP(D$1,google_form!$1:$183,$A11,FALSE)</f>
        <v>Monacci et al. (2024)</v>
      </c>
      <c r="E11" s="40" t="str">
        <f>HLOOKUP(E$1,google_form!$1:$183,$A11,FALSE)</f>
        <v>https://essd.copernicus.org/articles/16/647/2024/essd-16-647-2024-avatar-web.png</v>
      </c>
      <c r="F11" s="36" t="str">
        <f t="shared" ref="F11:G11" si="36">if(ISBLANK($C11), "", F$1)</f>
        <v>fa-solid fa-globe</v>
      </c>
      <c r="G11" s="36" t="str">
        <f t="shared" si="36"/>
        <v>Spatial domains</v>
      </c>
      <c r="H11" s="36" t="str">
        <f>HLOOKUP(H$1,google_form!$1:$183,$A11,FALSE)</f>
        <v>Coastal ocean, Water column</v>
      </c>
      <c r="I11" s="36" t="str">
        <f t="shared" ref="I11:J11" si="37">if(ISBLANK($C11), "", I$1)</f>
        <v>fa-solid fa-hourglass-start</v>
      </c>
      <c r="J11" s="36" t="str">
        <f t="shared" si="37"/>
        <v>Temporal resolution</v>
      </c>
      <c r="K11" s="36" t="str">
        <f>HLOOKUP(K$1,google_form!$1:$183,$A11,FALSE)</f>
        <v>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2008 - 2017</v>
      </c>
      <c r="R11" s="36" t="str">
        <f>HLOOKUP(R$1,google_form!$1:$183,$A11,FALSE)</f>
        <v>A synthesis of twenty cruises from 2008 to 2017 on the Gulf of Alaska (GAK) Line</v>
      </c>
      <c r="S11" s="36" t="str">
        <f>HLOOKUP(S$1,google_form!$1:$183,$A11,FALSE)</f>
        <v>Monacci et al. (2024)</v>
      </c>
      <c r="T11" s="40" t="str">
        <f>HLOOKUP(T$1,google_form!$1:$183,$A11,FALSE)</f>
        <v>https://doi.org/10.5194/essd-16-647-2024</v>
      </c>
      <c r="U11" s="40" t="str">
        <f>HLOOKUP(U$1,google_form!$1:$183,$A11,FALSE)</f>
        <v>https://www.ncei.noaa.gov/data/oceans/ncei/ocads/metadata/0277034.html</v>
      </c>
      <c r="V11" s="36" t="str">
        <f t="shared" si="10"/>
        <v>Description</v>
      </c>
      <c r="W11" s="36" t="str">
        <f>HLOOKUP(W$1,google_form!$1:$183,$A11,FALSE)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6" t="str">
        <f t="shared" si="11"/>
        <v>Reference</v>
      </c>
      <c r="Y11" s="36" t="str">
        <f>HLOOKUP(Y$1,google_form!$1:$183,$A11,FALSE)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6">
        <v>11.0</v>
      </c>
      <c r="B12" s="36" t="str">
        <f>HLOOKUP(B$1,google_form!$1:$183,$A12,FALSE)</f>
        <v>Data compilations</v>
      </c>
      <c r="C12" s="36" t="str">
        <f>HLOOKUP(C$1,google_form!$1:$183,$A12,FALSE)</f>
        <v>Salish Sea Multi-stressor Data Product</v>
      </c>
      <c r="D12" s="36" t="str">
        <f>HLOOKUP(D$1,google_form!$1:$183,$A12,FALSE)</f>
        <v>Alin et al. (2024)</v>
      </c>
      <c r="E12" s="40" t="str">
        <f>HLOOKUP(E$1,google_form!$1:$183,$A12,FALSE)</f>
        <v>https://essd.copernicus.org/articles/16/837/2024/essd-16-837-2024-avatar-web.png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
      </c>
      <c r="R12" s="36" t="str">
        <f>HLOOKUP(R$1,google_form!$1:$183,$A12,FALSE)</f>
        <v>A data compilation and multi-stressor (OA, hypoxia, temperature) data product based on cruises from 2002 to 2018 in the southern Salish Sea and Washington coast. </v>
      </c>
      <c r="S12" s="36" t="str">
        <f>HLOOKUP(S$1,google_form!$1:$183,$A12,FALSE)</f>
        <v>Alin et al. (2024)</v>
      </c>
      <c r="T12" s="40" t="str">
        <f>HLOOKUP(T$1,google_form!$1:$183,$A12,FALSE)</f>
        <v>https://doi.org/10.5194/essd-16-837-2024</v>
      </c>
      <c r="U12" s="40" t="str">
        <f>HLOOKUP(U$1,google_form!$1:$183,$A12,FALSE)</f>
        <v>https://www.ncei.noaa.gov/access/ocean-carbon-acidification-data-system/oceans/SalishCruise_DataPackage.html</v>
      </c>
      <c r="V12" s="36" t="str">
        <f t="shared" si="10"/>
        <v>Description</v>
      </c>
      <c r="W12" s="36" t="str">
        <f>HLOOKUP(W$1,google_form!$1:$183,$A12,FALSE)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6" t="str">
        <f t="shared" si="11"/>
        <v>Reference</v>
      </c>
      <c r="Y12" s="36" t="str">
        <f>HLOOKUP(Y$1,google_form!$1:$183,$A12,FALSE)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6">
        <v>12.0</v>
      </c>
      <c r="B13" s="36" t="str">
        <f>HLOOKUP(B$1,google_form!$1:$183,$A13,FALSE)</f>
        <v>Data compilations</v>
      </c>
      <c r="C13" s="36" t="str">
        <f>HLOOKUP(C$1,google_form!$1:$183,$A13,FALSE)</f>
        <v>Line P Marine Carbonate Chemistry Compilation</v>
      </c>
      <c r="D13" s="36" t="str">
        <f>HLOOKUP(D$1,google_form!$1:$183,$A13,FALSE)</f>
        <v>Franco et al., (2021)</v>
      </c>
      <c r="E13" s="40" t="str">
        <f>HLOOKUP(E$1,google_form!$1:$183,$A13,FALSE)</f>
        <v>https://i.ibb.co/4wb5JLp1/fig1-map-francoetal2021.png</v>
      </c>
      <c r="F13" s="36" t="str">
        <f t="shared" ref="F13:G13" si="44">if(ISBLANK($C13), "", F$1)</f>
        <v>fa-solid fa-globe</v>
      </c>
      <c r="G13" s="36" t="str">
        <f t="shared" si="44"/>
        <v>Spatial domains</v>
      </c>
      <c r="H13" s="36" t="str">
        <f>HLOOKUP(H$1,google_form!$1:$183,$A13,FALSE)</f>
        <v>Open ocean, Water column, Regional</v>
      </c>
      <c r="I13" s="36" t="str">
        <f t="shared" ref="I13:J13" si="45">if(ISBLANK($C13), "", I$1)</f>
        <v>fa-solid fa-hourglass-start</v>
      </c>
      <c r="J13" s="36" t="str">
        <f t="shared" si="45"/>
        <v>Temporal resolution</v>
      </c>
      <c r="K13" s="36" t="str">
        <f>HLOOKUP(K$1,google_form!$1:$183,$A13,FALSE)</f>
        <v>irregular, sub-annual, discrete</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1990 - 2019</v>
      </c>
      <c r="R13" s="36" t="str">
        <f>HLOOKUP(R$1,google_form!$1:$183,$A13,FALSE)</f>
        <v>A compilation of fifty-five Line P cruises containing discrete DIC and TA profiles at five stations in the Northeast Pacific Ocean. Sampled approximately three times per year from 1990 to 2019</v>
      </c>
      <c r="S13" s="36" t="str">
        <f>HLOOKUP(S$1,google_form!$1:$183,$A13,FALSE)</f>
        <v>Franco et al., (2021)</v>
      </c>
      <c r="T13" s="40" t="str">
        <f>HLOOKUP(T$1,google_form!$1:$183,$A13,FALSE)</f>
        <v>https://doi.org/10.1029/2020GB006829</v>
      </c>
      <c r="U13" s="40" t="str">
        <f>HLOOKUP(U$1,google_form!$1:$183,$A13,FALSE)</f>
        <v>https://www.ncei.noaa.gov/data/oceans/ncei/ocads/metadata/0234342.html</v>
      </c>
      <c r="V13" s="36" t="str">
        <f t="shared" si="10"/>
        <v>Description</v>
      </c>
      <c r="W13" s="36" t="str">
        <f>HLOOKUP(W$1,google_form!$1:$183,$A13,FALSE)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6" t="str">
        <f t="shared" si="11"/>
        <v>Reference</v>
      </c>
      <c r="Y13" s="36" t="str">
        <f>HLOOKUP(Y$1,google_form!$1:$183,$A13,FALSE)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6">
        <v>13.0</v>
      </c>
      <c r="B14" s="36" t="str">
        <f>HLOOKUP(B$1,google_form!$1:$183,$A14,FALSE)</f>
        <v>Data compilations</v>
      </c>
      <c r="C14" s="36" t="str">
        <f>HLOOKUP(C$1,google_form!$1:$183,$A14,FALSE)</f>
        <v>NCRMP Atlantic Carbonate Chemistry</v>
      </c>
      <c r="D14" s="36" t="str">
        <f>HLOOKUP(D$1,google_form!$1:$183,$A14,FALSE)</f>
        <v>Enochs et al. (2018)</v>
      </c>
      <c r="E14" s="40" t="str">
        <f>HLOOKUP(E$1,google_form!$1:$183,$A14,FALSE)</f>
        <v>https://i.ibb.co/B5hFVP3W/unnamed.png</v>
      </c>
      <c r="F14" s="36" t="str">
        <f t="shared" ref="F14:G14" si="48">if(ISBLANK($C14), "", F$1)</f>
        <v>fa-solid fa-globe</v>
      </c>
      <c r="G14" s="36" t="str">
        <f t="shared" si="48"/>
        <v>Spatial domains</v>
      </c>
      <c r="H14" s="36" t="str">
        <f>HLOOKUP(H$1,google_form!$1:$183,$A14,FALSE)</f>
        <v>Coastal ocean</v>
      </c>
      <c r="I14" s="36" t="str">
        <f t="shared" ref="I14:J14" si="49">if(ISBLANK($C14), "", I$1)</f>
        <v>fa-solid fa-hourglass-start</v>
      </c>
      <c r="J14" s="36" t="str">
        <f t="shared" si="49"/>
        <v>Temporal resolution</v>
      </c>
      <c r="K14" s="36" t="str">
        <f>HLOOKUP(K$1,google_form!$1:$183,$A14,FALSE)</f>
        <v>irregular, monthly, yearly</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2012 - 2024</v>
      </c>
      <c r="R14" s="36" t="str">
        <f>HLOOKUP(R$1,google_form!$1:$183,$A14,FALSE)</f>
        <v>Carbonate chemistry data from diverse Atlantic sites—hand sampling, autosamplers, and AOAT buoy CalVal—used to assess spatial and temporal variability in coral-reef seawater.</v>
      </c>
      <c r="S14" s="36" t="str">
        <f>HLOOKUP(S$1,google_form!$1:$183,$A14,FALSE)</f>
        <v>Enochs et al. (2018)</v>
      </c>
      <c r="T14" s="40" t="str">
        <f>HLOOKUP(T$1,google_form!$1:$183,$A14,FALSE)</f>
        <v>https://www.ncei.noaa.gov/data/oceans/coris/library/NOAA/CRCP/monitoring/protocols/</v>
      </c>
      <c r="U14" s="40" t="str">
        <f>HLOOKUP(U$1,google_form!$1:$183,$A14,FALSE)</f>
        <v>https://www.ncei.noaa.gov/access/metadata/landing-page/bin/iso?id=gov.noaa.nodc:NCRMP-CO3-Atlantic</v>
      </c>
      <c r="V14" s="36" t="str">
        <f t="shared" si="10"/>
        <v>Description</v>
      </c>
      <c r="W14" s="36" t="str">
        <f>HLOOKUP(W$1,google_form!$1:$183,$A14,FALSE)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4" s="36" t="str">
        <f t="shared" si="11"/>
        <v>Reference</v>
      </c>
      <c r="Y14" s="36" t="str">
        <f>HLOOKUP(Y$1,google_form!$1:$183,$A14,FALSE)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5">
      <c r="A15" s="36">
        <v>14.0</v>
      </c>
      <c r="B15" s="36" t="str">
        <f>HLOOKUP(B$1,google_form!$1:$183,$A15,FALSE)</f>
        <v>Data compilations</v>
      </c>
      <c r="C15" s="36" t="str">
        <f>HLOOKUP(C$1,google_form!$1:$183,$A15,FALSE)</f>
        <v>MOCHA - Multistressor Observations of Coastal Hypoxia and Acidification</v>
      </c>
      <c r="D15" s="36" t="str">
        <f>HLOOKUP(D$1,google_form!$1:$183,$A15,FALSE)</f>
        <v>Kennedy et al., 2023</v>
      </c>
      <c r="E15" s="40" t="str">
        <f>HLOOKUP(E$1,google_form!$1:$183,$A15,FALSE)</f>
        <v>https://i.ibb.co/Nd6JQ84q/data-locs-composite-bs.png</v>
      </c>
      <c r="F15" s="36" t="str">
        <f t="shared" ref="F15:G15" si="52">if(ISBLANK($C15), "", F$1)</f>
        <v>fa-solid fa-globe</v>
      </c>
      <c r="G15" s="36" t="str">
        <f t="shared" si="52"/>
        <v>Spatial domains</v>
      </c>
      <c r="H15" s="36" t="str">
        <f>HLOOKUP(H$1,google_form!$1:$183,$A15,FALSE)</f>
        <v>Open ocean, Coastal ocean, Surface, Water column, Regional</v>
      </c>
      <c r="I15" s="36" t="str">
        <f t="shared" ref="I15:J15" si="53">if(ISBLANK($C15), "", I$1)</f>
        <v>fa-solid fa-hourglass-start</v>
      </c>
      <c r="J15" s="36" t="str">
        <f t="shared" si="53"/>
        <v>Temporal resolution</v>
      </c>
      <c r="K15" s="36" t="str">
        <f>HLOOKUP(K$1,google_form!$1:$183,$A15,FALSE)</f>
        <v>irregular, daily, monthly, yearly</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1949-2022</v>
      </c>
      <c r="R15" s="36" t="str">
        <f>HLOOKUP(R$1,google_form!$1:$183,$A15,FALSE)</f>
        <v>A compilation of discrete and continuous carbonate system and dissolved oxygen observations from the U.S. West Coast, consistently formatted and quality controlled.</v>
      </c>
      <c r="S15" s="36" t="str">
        <f>HLOOKUP(S$1,google_form!$1:$183,$A15,FALSE)</f>
        <v>Kennedy et al., 2023</v>
      </c>
      <c r="T15" s="40" t="str">
        <f>HLOOKUP(T$1,google_form!$1:$183,$A15,FALSE)</f>
        <v>https://doi.org/10.5194/essd-16-219-2024</v>
      </c>
      <c r="U15" s="40" t="str">
        <f>HLOOKUP(U$1,google_form!$1:$183,$A15,FALSE)</f>
        <v>https://doi.org/10.25921/2vve-fh39</v>
      </c>
      <c r="V15" s="36" t="str">
        <f t="shared" si="10"/>
        <v>Description</v>
      </c>
      <c r="W15" s="36" t="str">
        <f>HLOOKUP(W$1,google_form!$1:$183,$A15,FALSE)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5" s="36" t="str">
        <f t="shared" si="11"/>
        <v>Reference</v>
      </c>
      <c r="Y15" s="36" t="str">
        <f>HLOOKUP(Y$1,google_form!$1:$183,$A15,FALSE)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6">
      <c r="A16" s="36">
        <v>15.0</v>
      </c>
      <c r="B16" s="36" t="str">
        <f>HLOOKUP(B$1,google_form!$1:$183,$A16,FALSE)</f>
        <v>Data compilations</v>
      </c>
      <c r="C16" s="36" t="str">
        <f>HLOOKUP(C$1,google_form!$1:$183,$A16,FALSE)</f>
        <v>Anthropogenic Carbon in the Arctic Ocean</v>
      </c>
      <c r="D16" s="36" t="str">
        <f>HLOOKUP(D$1,google_form!$1:$183,$A16,FALSE)</f>
        <v>Terhaar et al. (2020)</v>
      </c>
      <c r="E16" s="40" t="str">
        <f>HLOOKUP(E$1,google_form!$1:$183,$A16,FALSE)</f>
        <v>https://www.seanoe.org/data/00927/103920/illustration.gif</v>
      </c>
      <c r="F16" s="36" t="str">
        <f t="shared" ref="F16:G16" si="56">if(ISBLANK($C16), "", F$1)</f>
        <v>fa-solid fa-globe</v>
      </c>
      <c r="G16" s="36" t="str">
        <f t="shared" si="56"/>
        <v>Spatial domains</v>
      </c>
      <c r="H16" s="36" t="str">
        <f>HLOOKUP(H$1,google_form!$1:$183,$A16,FALSE)</f>
        <v>Open ocean</v>
      </c>
      <c r="I16" s="36" t="str">
        <f t="shared" ref="I16:J16" si="57">if(ISBLANK($C16), "", I$1)</f>
        <v>fa-solid fa-hourglass-start</v>
      </c>
      <c r="J16" s="36" t="str">
        <f t="shared" si="57"/>
        <v>Temporal resolution</v>
      </c>
      <c r="K16" s="36" t="str">
        <f>HLOOKUP(K$1,google_form!$1:$183,$A16,FALSE)</f>
        <v>climatology</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2005</v>
      </c>
      <c r="R16" s="36" t="str">
        <f>HLOOKUP(R$1,google_form!$1:$183,$A16,FALSE)</f>
        <v>Observation-based estimates of anthropogenic carbon in the Arctic Ocean</v>
      </c>
      <c r="S16" s="36" t="str">
        <f>HLOOKUP(S$1,google_form!$1:$183,$A16,FALSE)</f>
        <v>Terhaar et al. (2020)</v>
      </c>
      <c r="T16" s="40" t="str">
        <f>HLOOKUP(T$1,google_form!$1:$183,$A16,FALSE)</f>
        <v>https://doi.org/10.1029/2020jc016124</v>
      </c>
      <c r="U16" s="40" t="str">
        <f>HLOOKUP(U$1,google_form!$1:$183,$A16,FALSE)</f>
        <v>https://www.seanoe.org/data/00927/103920/</v>
      </c>
      <c r="V16" s="36" t="str">
        <f t="shared" si="10"/>
        <v>Description</v>
      </c>
      <c r="W16" s="36" t="str">
        <f>HLOOKUP(W$1,google_form!$1:$183,$A16,FALSE)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HLOOKUP(Y$1,google_form!$1:$183,$A16,FALSE)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HLOOKUP(B$1,google_form!$1:$183,$A17,FALSE)</f>
        <v>Time series</v>
      </c>
      <c r="C17" s="36" t="str">
        <f>HLOOKUP(C$1,google_form!$1:$183,$A17,FALSE)</f>
        <v>Bermuda Atlantic Time-series Study (BATS)</v>
      </c>
      <c r="D17" s="36" t="str">
        <f>HLOOKUP(D$1,google_form!$1:$183,$A17,FALSE)</f>
        <v>Bates and Johnson (2023)</v>
      </c>
      <c r="E17" s="40" t="str">
        <f>HLOOKUP(E$1,google_form!$1:$183,$A17,FALSE)</f>
        <v>https://www.frontiersin.org/files/Articles/1289931/fmars-10-1289931-HTML-r1/image_m/fmars-10-1289931-g001.jpg</v>
      </c>
      <c r="F17" s="36" t="str">
        <f t="shared" ref="F17:G17" si="60">if(ISBLANK($C17), "", F$1)</f>
        <v>fa-solid fa-globe</v>
      </c>
      <c r="G17" s="36" t="str">
        <f t="shared" si="60"/>
        <v>Spatial domains</v>
      </c>
      <c r="H17" s="36" t="str">
        <f>HLOOKUP(H$1,google_form!$1:$183,$A17,FALSE)</f>
        <v>Open ocean</v>
      </c>
      <c r="I17" s="36" t="str">
        <f t="shared" ref="I17:J17" si="61">if(ISBLANK($C17), "", I$1)</f>
        <v>fa-solid fa-hourglass-start</v>
      </c>
      <c r="J17" s="36" t="str">
        <f t="shared" si="61"/>
        <v>Temporal resolution</v>
      </c>
      <c r="K17" s="36" t="str">
        <f>HLOOKUP(K$1,google_form!$1:$183,$A17,FALSE)</f>
        <v>monthly</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1988-2025</v>
      </c>
      <c r="R17" s="36" t="str">
        <f>HLOOKUP(R$1,google_form!$1:$183,$A17,FALSE)</f>
        <v>Forty years of ocean acidification observations (1983-2023) in the Sargasso Sea at the Bermuda Atlantic Time-series Study (BATS) site. </v>
      </c>
      <c r="S17" s="36" t="str">
        <f>HLOOKUP(S$1,google_form!$1:$183,$A17,FALSE)</f>
        <v>Bates and Johnson (2023)</v>
      </c>
      <c r="T17" s="40" t="str">
        <f>HLOOKUP(T$1,google_form!$1:$183,$A17,FALSE)</f>
        <v>https://doi.org/10.3389/fmars.2023.1289931</v>
      </c>
      <c r="U17" s="40" t="str">
        <f>HLOOKUP(U$1,google_form!$1:$183,$A17,FALSE)</f>
        <v>https://www.bco-dmo.org/project/2124</v>
      </c>
      <c r="V17" s="36" t="str">
        <f t="shared" si="10"/>
        <v>Description</v>
      </c>
      <c r="W17" s="36" t="str">
        <f>HLOOKUP(W$1,google_form!$1:$183,$A17,FALSE)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HLOOKUP(Y$1,google_form!$1:$183,$A17,FALSE)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HLOOKUP(B$1,google_form!$1:$183,$A18,FALSE)</f>
        <v>Time series</v>
      </c>
      <c r="C18" s="36" t="str">
        <f>HLOOKUP(C$1,google_form!$1:$183,$A18,FALSE)</f>
        <v>pCO2 and pH Time-series from 40 Surface Buoys</v>
      </c>
      <c r="D18" s="36" t="str">
        <f>HLOOKUP(D$1,google_form!$1:$183,$A18,FALSE)</f>
        <v>Sutton et al. (2019)</v>
      </c>
      <c r="E18" s="40" t="str">
        <f>HLOOKUP(E$1,google_form!$1:$183,$A18,FALSE)</f>
        <v>https://essd.copernicus.org/articles/11/421/2019/essd-11-421-2019-avatar-web.png</v>
      </c>
      <c r="F18" s="36" t="str">
        <f t="shared" ref="F18:G18" si="64">if(ISBLANK($C18), "", F$1)</f>
        <v>fa-solid fa-globe</v>
      </c>
      <c r="G18" s="36" t="str">
        <f t="shared" si="64"/>
        <v>Spatial domains</v>
      </c>
      <c r="H18" s="36" t="str">
        <f>HLOOKUP(H$1,google_form!$1:$183,$A18,FALSE)</f>
        <v>Open ocean, Coastal ocean, Surface</v>
      </c>
      <c r="I18" s="36" t="str">
        <f t="shared" ref="I18:J18" si="65">if(ISBLANK($C18), "", I$1)</f>
        <v>fa-solid fa-hourglass-start</v>
      </c>
      <c r="J18" s="36" t="str">
        <f t="shared" si="65"/>
        <v>Temporal resolution</v>
      </c>
      <c r="K18" s="36" t="str">
        <f>HLOOKUP(K$1,google_form!$1:$183,$A18,FALSE)</f>
        <v>continuous</v>
      </c>
      <c r="L18" s="36" t="str">
        <f t="shared" ref="L18:M18" si="66">if(ISBLANK($C18), "", L$1)</f>
        <v>fa-solid fa-ruler-horizontal</v>
      </c>
      <c r="M18" s="36" t="str">
        <f t="shared" si="66"/>
        <v>Spatial resolution</v>
      </c>
      <c r="N18" s="41" t="str">
        <f>HLOOKUP(N$1,google_form!$1:$183,$A18,FALSE)</f>
        <v/>
      </c>
      <c r="O18" s="36" t="str">
        <f t="shared" ref="O18:P18" si="67">if(ISBLANK($C18), "", O$1)</f>
        <v>fa-solid fa-calendar-days</v>
      </c>
      <c r="P18" s="36" t="str">
        <f t="shared" si="67"/>
        <v>Period</v>
      </c>
      <c r="Q18" s="36" t="str">
        <f>HLOOKUP(Q$1,google_form!$1:$183,$A18,FALSE)</f>
        <v/>
      </c>
      <c r="R18" s="36" t="str">
        <f>HLOOKUP(R$1,google_form!$1:$183,$A18,FALSE)</f>
        <v>Based on 40 moored surface pCO2 time-series, with 17 of them containing pH</v>
      </c>
      <c r="S18" s="36" t="str">
        <f>HLOOKUP(S$1,google_form!$1:$183,$A18,FALSE)</f>
        <v>Sutton et al. (2019)</v>
      </c>
      <c r="T18" s="40" t="str">
        <f>HLOOKUP(T$1,google_form!$1:$183,$A18,FALSE)</f>
        <v>https://doi.org/10.5194/essd-11-421-2019</v>
      </c>
      <c r="U18" s="40" t="str">
        <f>HLOOKUP(U$1,google_form!$1:$183,$A18,FALSE)</f>
        <v>https://www.ncei.noaa.gov/data/oceans/ncei/ocads/metadata/0173932.html</v>
      </c>
      <c r="V18" s="36" t="str">
        <f t="shared" si="10"/>
        <v>Description</v>
      </c>
      <c r="W18" s="36" t="str">
        <f>HLOOKUP(W$1,google_form!$1:$183,$A18,FALSE)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8" s="36" t="str">
        <f t="shared" si="11"/>
        <v>Reference</v>
      </c>
      <c r="Y18" s="36" t="str">
        <f>HLOOKUP(Y$1,google_form!$1:$183,$A18,FALSE)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9">
      <c r="A19" s="36">
        <v>18.0</v>
      </c>
      <c r="B19" s="36" t="str">
        <f>HLOOKUP(B$1,google_form!$1:$183,$A19,FALSE)</f>
        <v>Time series</v>
      </c>
      <c r="C19" s="36" t="str">
        <f>HLOOKUP(C$1,google_form!$1:$183,$A19,FALSE)</f>
        <v>Point B Time-series</v>
      </c>
      <c r="D19" s="36" t="str">
        <f>HLOOKUP(D$1,google_form!$1:$183,$A19,FALSE)</f>
        <v>Kapsenberg et al. (2017)</v>
      </c>
      <c r="E19" s="40" t="str">
        <f>HLOOKUP(E$1,google_form!$1:$183,$A19,FALSE)</f>
        <v>https://i.ibb.co/8gK4B2BP/Point-B.png</v>
      </c>
      <c r="F19" s="36" t="str">
        <f t="shared" ref="F19:G19" si="68">if(ISBLANK($C19), "", F$1)</f>
        <v>fa-solid fa-globe</v>
      </c>
      <c r="G19" s="36" t="str">
        <f t="shared" si="68"/>
        <v>Spatial domains</v>
      </c>
      <c r="H19" s="36" t="str">
        <f>HLOOKUP(H$1,google_form!$1:$183,$A19,FALSE)</f>
        <v>Coastal ocean</v>
      </c>
      <c r="I19" s="36" t="str">
        <f t="shared" ref="I19:J19" si="69">if(ISBLANK($C19), "", I$1)</f>
        <v>fa-solid fa-hourglass-start</v>
      </c>
      <c r="J19" s="36" t="str">
        <f t="shared" si="69"/>
        <v>Temporal resolution</v>
      </c>
      <c r="K19" s="36" t="str">
        <f>HLOOKUP(K$1,google_form!$1:$183,$A19,FALSE)</f>
        <v>discrete</v>
      </c>
      <c r="L19" s="36" t="str">
        <f t="shared" ref="L19:M19" si="70">if(ISBLANK($C19), "", L$1)</f>
        <v>fa-solid fa-ruler-horizontal</v>
      </c>
      <c r="M19" s="36" t="str">
        <f t="shared" si="70"/>
        <v>Spatial resolution</v>
      </c>
      <c r="N19" s="41" t="str">
        <f>HLOOKUP(N$1,google_form!$1:$183,$A19,FALSE)</f>
        <v/>
      </c>
      <c r="O19" s="36" t="str">
        <f t="shared" ref="O19:P19" si="71">if(ISBLANK($C19), "", O$1)</f>
        <v>fa-solid fa-calendar-days</v>
      </c>
      <c r="P19" s="36" t="str">
        <f t="shared" si="71"/>
        <v>Period</v>
      </c>
      <c r="Q19" s="36" t="str">
        <f>HLOOKUP(Q$1,google_form!$1:$183,$A19,FALSE)</f>
        <v/>
      </c>
      <c r="R19" s="36" t="str">
        <f>HLOOKUP(R$1,google_form!$1:$183,$A19,FALSE)</f>
        <v>Carbonate chemistry at a coastal site of the Bay of Villefranche, France</v>
      </c>
      <c r="S19" s="36" t="str">
        <f>HLOOKUP(S$1,google_form!$1:$183,$A19,FALSE)</f>
        <v>Kapsenberg et al. (2017)</v>
      </c>
      <c r="T19" s="40" t="str">
        <f>HLOOKUP(T$1,google_form!$1:$183,$A19,FALSE)</f>
        <v>https://doi.org/10.5194/os-13-411-2017</v>
      </c>
      <c r="U19" s="40" t="str">
        <f>HLOOKUP(U$1,google_form!$1:$183,$A19,FALSE)</f>
        <v>https://doi.org/10.1594/PANGAEA.727120 </v>
      </c>
      <c r="V19" s="36" t="str">
        <f t="shared" si="10"/>
        <v>Description</v>
      </c>
      <c r="W19" s="36" t="str">
        <f>HLOOKUP(W$1,google_form!$1:$183,$A19,FALSE)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9" s="36" t="str">
        <f t="shared" si="11"/>
        <v>Reference</v>
      </c>
      <c r="Y19" s="36" t="str">
        <f>HLOOKUP(Y$1,google_form!$1:$183,$A19,FALSE)</f>
        <v>Kapsenberg, L., Alliouane, S., Gazeau, F., Mousseau, L., and Gattuso, J.-P.: Coastal ocean acidification and increasing total alkalinity in the northwestern Mediterranean Sea, Ocean Sci., 13, 411–426, https://doi.org/10.5194/os-13-411-2017, 2017.  </v>
      </c>
    </row>
    <row r="20">
      <c r="A20" s="36">
        <v>19.0</v>
      </c>
      <c r="B20" s="36" t="str">
        <f>HLOOKUP(B$1,google_form!$1:$183,$A20,FALSE)</f>
        <v>Time series</v>
      </c>
      <c r="C20" s="36" t="str">
        <f>HLOOKUP(C$1,google_form!$1:$183,$A20,FALSE)</f>
        <v>Ny-Ålesund Time-series</v>
      </c>
      <c r="D20" s="36" t="str">
        <f>HLOOKUP(D$1,google_form!$1:$183,$A20,FALSE)</f>
        <v>Gattuso et al. (2023)</v>
      </c>
      <c r="E20" s="40" t="str">
        <f>HLOOKUP(E$1,google_form!$1:$183,$A20,FALSE)</f>
        <v>https://essd.copernicus.org/articles/15/2809/2023/essd-15-2809-2023-avatar-web.png</v>
      </c>
      <c r="F20" s="36" t="str">
        <f t="shared" ref="F20:G20" si="72">if(ISBLANK($C20), "", F$1)</f>
        <v>fa-solid fa-globe</v>
      </c>
      <c r="G20" s="36" t="str">
        <f t="shared" si="72"/>
        <v>Spatial domains</v>
      </c>
      <c r="H20" s="36" t="str">
        <f>HLOOKUP(H$1,google_form!$1:$183,$A20,FALSE)</f>
        <v>Coastal ocean</v>
      </c>
      <c r="I20" s="36" t="str">
        <f t="shared" ref="I20:J20" si="73">if(ISBLANK($C20), "", I$1)</f>
        <v>fa-solid fa-hourglass-start</v>
      </c>
      <c r="J20" s="36" t="str">
        <f t="shared" si="73"/>
        <v>Temporal resolution</v>
      </c>
      <c r="K20" s="36" t="str">
        <f>HLOOKUP(K$1,google_form!$1:$183,$A20,FALSE)</f>
        <v>continuous, discrete</v>
      </c>
      <c r="L20" s="36" t="str">
        <f t="shared" ref="L20:M20" si="74">if(ISBLANK($C20), "", L$1)</f>
        <v>fa-solid fa-ruler-horizontal</v>
      </c>
      <c r="M20" s="36" t="str">
        <f t="shared" si="74"/>
        <v>Spatial resolution</v>
      </c>
      <c r="N20" s="41" t="str">
        <f>HLOOKUP(N$1,google_form!$1:$183,$A20,FALSE)</f>
        <v/>
      </c>
      <c r="O20" s="36" t="str">
        <f t="shared" ref="O20:P20" si="75">if(ISBLANK($C20), "", O$1)</f>
        <v>fa-solid fa-calendar-days</v>
      </c>
      <c r="P20" s="36" t="str">
        <f t="shared" si="75"/>
        <v>Period</v>
      </c>
      <c r="Q20" s="36" t="str">
        <f>HLOOKUP(Q$1,google_form!$1:$183,$A20,FALSE)</f>
        <v/>
      </c>
      <c r="R20" s="36" t="str">
        <f>HLOOKUP(R$1,google_form!$1:$183,$A20,FALSE)</f>
        <v>Carbonate chemistry at a coastal site of Kongsfjorden, Spitsbergen</v>
      </c>
      <c r="S20" s="36" t="str">
        <f>HLOOKUP(S$1,google_form!$1:$183,$A20,FALSE)</f>
        <v>Gattuso et al. (2023)</v>
      </c>
      <c r="T20" s="40" t="str">
        <f>HLOOKUP(T$1,google_form!$1:$183,$A20,FALSE)</f>
        <v>https://doi.org/10.5194/essd-15-2809-2023</v>
      </c>
      <c r="U20" s="40" t="str">
        <f>HLOOKUP(U$1,google_form!$1:$183,$A20,FALSE)</f>
        <v>https://doi.org//10.1594/PANGAEA.957028</v>
      </c>
      <c r="V20" s="36" t="str">
        <f t="shared" si="10"/>
        <v>Description</v>
      </c>
      <c r="W20" s="36" t="str">
        <f>HLOOKUP(W$1,google_form!$1:$183,$A20,FALSE)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0" s="36" t="str">
        <f t="shared" si="11"/>
        <v>Reference</v>
      </c>
      <c r="Y20" s="36" t="str">
        <f>HLOOKUP(Y$1,google_form!$1:$183,$A20,FALSE)</f>
        <v>Gattuso, J.-P., Alliouane, S., and Fischer, P.: High-frequency, year-round time series of the carbonate chemistry in a high-Arctic fjord (Svalbard), Earth Syst. Sci. Data, 15, 2809–2825, https://doi.org/10.5194/essd-15-2809-2023, 2023. </v>
      </c>
    </row>
    <row r="21">
      <c r="A21" s="36">
        <v>20.0</v>
      </c>
      <c r="B21" s="36" t="str">
        <f>HLOOKUP(B$1,google_form!$1:$183,$A21,FALSE)</f>
        <v>Gridded surface</v>
      </c>
      <c r="C21" s="36" t="str">
        <f>HLOOKUP(C$1,google_form!$1:$183,$A21,FALSE)</f>
        <v>CSIR-ML6</v>
      </c>
      <c r="D21" s="36" t="str">
        <f>HLOOKUP(D$1,google_form!$1:$183,$A21,FALSE)</f>
        <v>Gregor et al. (2019)</v>
      </c>
      <c r="E21" s="40" t="str">
        <f>HLOOKUP(E$1,google_form!$1:$183,$A21,FALSE)</f>
        <v>https://gmd.copernicus.org/articles/12/5113/2019/gmd-12-5113-2019-f09-web.png</v>
      </c>
      <c r="F21" s="36" t="str">
        <f t="shared" ref="F21:G21" si="76">if(ISBLANK($C21), "", F$1)</f>
        <v>fa-solid fa-globe</v>
      </c>
      <c r="G21" s="36" t="str">
        <f t="shared" si="76"/>
        <v>Spatial domains</v>
      </c>
      <c r="H21" s="36" t="str">
        <f>HLOOKUP(H$1,google_form!$1:$183,$A21,FALSE)</f>
        <v>Open ocean, Surface</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1982 - 2020</v>
      </c>
      <c r="R21" s="36" t="str">
        <f>HLOOKUP(R$1,google_form!$1:$183,$A21,FALSE)</f>
        <v>Various ML methods produce different results when data is sparse, but all still achieving roughly the same uncertainty</v>
      </c>
      <c r="S21" s="36" t="str">
        <f>HLOOKUP(S$1,google_form!$1:$183,$A21,FALSE)</f>
        <v>Gregor et al. (2019)</v>
      </c>
      <c r="T21" s="40" t="str">
        <f>HLOOKUP(T$1,google_form!$1:$183,$A21,FALSE)</f>
        <v>https://doi.org/10.5194/gmd-12-5113-2019</v>
      </c>
      <c r="U21" s="40" t="str">
        <f>HLOOKUP(U$1,google_form!$1:$183,$A21,FALSE)</f>
        <v>https://www.ncei.noaa.gov/data/oceans/ncei/ocads/metadata/0206205.html</v>
      </c>
      <c r="V21" s="36" t="str">
        <f t="shared" si="10"/>
        <v>Description</v>
      </c>
      <c r="W21" s="36" t="str">
        <f>HLOOKUP(W$1,google_form!$1:$183,$A21,FALSE)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21" s="36" t="str">
        <f t="shared" si="11"/>
        <v>Reference</v>
      </c>
      <c r="Y21" s="36" t="str">
        <f>HLOOKUP(Y$1,google_form!$1:$183,$A21,FALSE)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22">
      <c r="A22" s="36">
        <v>21.0</v>
      </c>
      <c r="B22" s="36" t="str">
        <f>HLOOKUP(B$1,google_form!$1:$183,$A22,FALSE)</f>
        <v>Gridded surface</v>
      </c>
      <c r="C22" s="36" t="str">
        <f>HLOOKUP(C$1,google_form!$1:$183,$A22,FALSE)</f>
        <v>OceanSODA-ETHZv1</v>
      </c>
      <c r="D22" s="36" t="str">
        <f>HLOOKUP(D$1,google_form!$1:$183,$A22,FALSE)</f>
        <v>Gregor and Gruber (2021)</v>
      </c>
      <c r="E22" s="40" t="str">
        <f>HLOOKUP(E$1,google_form!$1:$183,$A22,FALSE)</f>
        <v>https://essd.copernicus.org/articles/13/777/2021/essd-13-777-2021-avatar-web.png</v>
      </c>
      <c r="F22" s="36" t="str">
        <f t="shared" ref="F22:G22" si="80">if(ISBLANK($C22), "", F$1)</f>
        <v>fa-solid fa-globe</v>
      </c>
      <c r="G22" s="36" t="str">
        <f t="shared" si="80"/>
        <v>Spatial domains</v>
      </c>
      <c r="H22" s="36" t="str">
        <f>HLOOKUP(H$1,google_form!$1:$183,$A22,FALSE)</f>
        <v>Open ocean, Surface</v>
      </c>
      <c r="I22" s="36" t="str">
        <f t="shared" ref="I22:J22" si="81">if(ISBLANK($C22), "", I$1)</f>
        <v>fa-solid fa-hourglass-start</v>
      </c>
      <c r="J22" s="36" t="str">
        <f t="shared" si="81"/>
        <v>Temporal resolution</v>
      </c>
      <c r="K22" s="36" t="str">
        <f>HLOOKUP(K$1,google_form!$1:$183,$A22,FALSE)</f>
        <v>monthly</v>
      </c>
      <c r="L22" s="36" t="str">
        <f t="shared" ref="L22:M22" si="82">if(ISBLANK($C22), "", L$1)</f>
        <v>fa-solid fa-ruler-horizontal</v>
      </c>
      <c r="M22" s="36" t="str">
        <f t="shared" si="82"/>
        <v>Spatial resolution</v>
      </c>
      <c r="N22" s="41" t="str">
        <f>HLOOKUP(N$1,google_form!$1:$183,$A22,FALSE)</f>
        <v>1° x 1°</v>
      </c>
      <c r="O22" s="36" t="str">
        <f t="shared" ref="O22:P22" si="83">if(ISBLANK($C22), "", O$1)</f>
        <v>fa-solid fa-calendar-days</v>
      </c>
      <c r="P22" s="36" t="str">
        <f t="shared" si="83"/>
        <v>Period</v>
      </c>
      <c r="Q22" s="36" t="str">
        <f>HLOOKUP(Q$1,google_form!$1:$183,$A22,FALSE)</f>
        <v>1982 - 2022</v>
      </c>
      <c r="R22" s="36" t="str">
        <f>HLOOKUP(R$1,google_form!$1:$183,$A22,FALSE)</f>
        <v>Temporal trends of DIC, TA, pCO2, pH, Ωarag, and Ωcalc</v>
      </c>
      <c r="S22" s="36" t="str">
        <f>HLOOKUP(S$1,google_form!$1:$183,$A22,FALSE)</f>
        <v>Gregor and Gruber (2021)</v>
      </c>
      <c r="T22" s="40" t="str">
        <f>HLOOKUP(T$1,google_form!$1:$183,$A22,FALSE)</f>
        <v>https://doi.org/10.5194/essd-13-777-2021</v>
      </c>
      <c r="U22" s="40" t="str">
        <f>HLOOKUP(U$1,google_form!$1:$183,$A22,FALSE)</f>
        <v>https://www.ncei.noaa.gov/data/oceans/ncei/ocads/metadata/0220059.html</v>
      </c>
      <c r="V22" s="36" t="str">
        <f t="shared" si="10"/>
        <v>Description</v>
      </c>
      <c r="W22" s="36" t="str">
        <f>HLOOKUP(W$1,google_form!$1:$183,$A22,FALSE)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2" s="36" t="str">
        <f t="shared" si="11"/>
        <v>Reference</v>
      </c>
      <c r="Y22" s="36" t="str">
        <f>HLOOKUP(Y$1,google_form!$1:$183,$A22,FALSE)</f>
        <v>Gregor, L.; Gruber, N. OceanSODA-ETHZ: A Global Gridded Data Set of the Surface Ocean Carbonate System for Seasonal to Decadal Studies of Ocean Acidification. Earth System Science Data 2021, 13 (2), 777–808. https://doi.org/10.5194/essd-13-777-2021.</v>
      </c>
    </row>
    <row r="23">
      <c r="A23" s="36">
        <v>22.0</v>
      </c>
      <c r="B23" s="36" t="str">
        <f>HLOOKUP(B$1,google_form!$1:$183,$A23,FALSE)</f>
        <v>Gridded surface</v>
      </c>
      <c r="C23" s="36" t="str">
        <f>HLOOKUP(C$1,google_form!$1:$183,$A23,FALSE)</f>
        <v>OceanSODA-ETHZv2</v>
      </c>
      <c r="D23" s="36" t="str">
        <f>HLOOKUP(D$1,google_form!$1:$183,$A23,FALSE)</f>
        <v>Gregor et al. (2024)</v>
      </c>
      <c r="E23" s="40" t="str">
        <f>HLOOKUP(E$1,google_form!$1:$183,$A23,FALSE)</f>
        <v>https://agupubs.onlinelibrary.wiley.com/cms/asset/7decc330-7468-429c-bae9-ac51b085be30/gbc21584-fig-0007-m.jpg</v>
      </c>
      <c r="F23" s="36" t="str">
        <f t="shared" ref="F23:G23" si="84">if(ISBLANK($C23), "", F$1)</f>
        <v>fa-solid fa-globe</v>
      </c>
      <c r="G23" s="36" t="str">
        <f t="shared" si="84"/>
        <v>Spatial domains</v>
      </c>
      <c r="H23" s="36" t="str">
        <f>HLOOKUP(H$1,google_form!$1:$183,$A23,FALSE)</f>
        <v>Open ocean, Surface</v>
      </c>
      <c r="I23" s="36" t="str">
        <f t="shared" ref="I23:J23" si="85">if(ISBLANK($C23), "", I$1)</f>
        <v>fa-solid fa-hourglass-start</v>
      </c>
      <c r="J23" s="36" t="str">
        <f t="shared" si="85"/>
        <v>Temporal resolution</v>
      </c>
      <c r="K23" s="36" t="str">
        <f>HLOOKUP(K$1,google_form!$1:$183,$A23,FALSE)</f>
        <v>8-day</v>
      </c>
      <c r="L23" s="36" t="str">
        <f t="shared" ref="L23:M23" si="86">if(ISBLANK($C23), "", L$1)</f>
        <v>fa-solid fa-ruler-horizontal</v>
      </c>
      <c r="M23" s="36" t="str">
        <f t="shared" si="86"/>
        <v>Spatial resolution</v>
      </c>
      <c r="N23" s="41" t="str">
        <f>HLOOKUP(N$1,google_form!$1:$183,$A23,FALSE)</f>
        <v>0.25° x 0.25°</v>
      </c>
      <c r="O23" s="36" t="str">
        <f t="shared" ref="O23:P23" si="87">if(ISBLANK($C23), "", O$1)</f>
        <v>fa-solid fa-calendar-days</v>
      </c>
      <c r="P23" s="36" t="str">
        <f t="shared" si="87"/>
        <v>Period</v>
      </c>
      <c r="Q23" s="36" t="str">
        <f>HLOOKUP(Q$1,google_form!$1:$183,$A23,FALSE)</f>
        <v>1982 - 2023</v>
      </c>
      <c r="R23" s="36" t="str">
        <f>HLOOKUP(R$1,google_form!$1:$183,$A23,FALSE)</f>
        <v>Highlighting fine-scale and short-term variability of the ocean carbon sink</v>
      </c>
      <c r="S23" s="36" t="str">
        <f>HLOOKUP(S$1,google_form!$1:$183,$A23,FALSE)</f>
        <v>Gregor et al. (2024)</v>
      </c>
      <c r="T23" s="40" t="str">
        <f>HLOOKUP(T$1,google_form!$1:$183,$A23,FALSE)</f>
        <v>https://doi.org/10.1029/2024GB008127</v>
      </c>
      <c r="U23" s="40" t="str">
        <f>HLOOKUP(U$1,google_form!$1:$183,$A23,FALSE)</f>
        <v>https://zenodo.org/records/11206366</v>
      </c>
      <c r="V23" s="36" t="str">
        <f t="shared" si="10"/>
        <v>Description</v>
      </c>
      <c r="W23" s="36" t="str">
        <f>HLOOKUP(W$1,google_form!$1:$183,$A23,FALSE)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3" s="36" t="str">
        <f t="shared" si="11"/>
        <v>Reference</v>
      </c>
      <c r="Y23" s="36" t="str">
        <f>HLOOKUP(Y$1,google_form!$1:$183,$A23,FALSE)</f>
        <v>Gregor, L.; Shutler, J.; Gruber, N. High-Resolution Variability of the Ocean Carbon Sink. Global Biogeochemical Cycles 2024, 38 (8), e2024GB008127. https://doi.org/10.1029/2024GB008127.</v>
      </c>
    </row>
    <row r="24">
      <c r="A24" s="36">
        <v>23.0</v>
      </c>
      <c r="B24" s="36" t="str">
        <f>HLOOKUP(B$1,google_form!$1:$183,$A24,FALSE)</f>
        <v>Gridded surface</v>
      </c>
      <c r="C24" s="36" t="str">
        <f>HLOOKUP(C$1,google_form!$1:$183,$A24,FALSE)</f>
        <v>UoEX-Watson</v>
      </c>
      <c r="D24" s="36" t="str">
        <f>HLOOKUP(D$1,google_form!$1:$183,$A24,FALSE)</f>
        <v>Watson et al (2020)</v>
      </c>
      <c r="E24" s="40" t="str">
        <f>HLOOKUP(E$1,google_form!$1:$183,$A24,FALSE)</f>
        <v>https://i.ibb.co/tpmH1dzt/Watson.png</v>
      </c>
      <c r="F24" s="36" t="str">
        <f t="shared" ref="F24:G24" si="88">if(ISBLANK($C24), "", F$1)</f>
        <v>fa-solid fa-globe</v>
      </c>
      <c r="G24" s="36" t="str">
        <f t="shared" si="88"/>
        <v>Spatial domains</v>
      </c>
      <c r="H24" s="36" t="str">
        <f>HLOOKUP(H$1,google_form!$1:$183,$A24,FALSE)</f>
        <v>Open ocean</v>
      </c>
      <c r="I24" s="36" t="str">
        <f t="shared" ref="I24:J24" si="89">if(ISBLANK($C24), "", I$1)</f>
        <v>fa-solid fa-hourglass-start</v>
      </c>
      <c r="J24" s="36" t="str">
        <f t="shared" si="89"/>
        <v>Temporal resolution</v>
      </c>
      <c r="K24" s="36" t="str">
        <f>HLOOKUP(K$1,google_form!$1:$183,$A24,FALSE)</f>
        <v>monthly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1985-2019</v>
      </c>
      <c r="R24" s="36" t="str">
        <f>HLOOKUP(R$1,google_form!$1:$183,$A24,FALSE)</f>
        <v>Air-sea fluxes of CO2 with adjusted skin temperature effect</v>
      </c>
      <c r="S24" s="36" t="str">
        <f>HLOOKUP(S$1,google_form!$1:$183,$A24,FALSE)</f>
        <v>Watson et al (2020)</v>
      </c>
      <c r="T24" s="40" t="str">
        <f>HLOOKUP(T$1,google_form!$1:$183,$A24,FALSE)</f>
        <v>https://doi.org/10.1038/s41467-020-18203-3</v>
      </c>
      <c r="U24" s="40" t="str">
        <f>HLOOKUP(U$1,google_form!$1:$183,$A24,FALSE)</f>
        <v>https://www.ncei.noaa.gov/data/oceans/ncei/ocads/data/0301544/</v>
      </c>
      <c r="V24" s="36" t="str">
        <f t="shared" si="10"/>
        <v>Description</v>
      </c>
      <c r="W24" s="36" t="str">
        <f>HLOOKUP(W$1,google_form!$1:$183,$A24,FALSE)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4" s="36" t="str">
        <f t="shared" si="11"/>
        <v>Reference</v>
      </c>
      <c r="Y24" s="36" t="str">
        <f>HLOOKUP(Y$1,google_form!$1:$183,$A24,FALSE)</f>
        <v>Watson, A. J., Schuster, U., Shutler, J. D., Holding, T., Ashton, I. G., Landschützer, P., Woolf, D., and Goddijn-Murphy, L.: Revised estimates of ocean-atmosphere CO2 flux are consistent with ocean carbon inventory, Nature Communications, 11(1), 1–6, https://doi.org/10.1038/s41467-020-18203-3, 2020.</v>
      </c>
    </row>
    <row r="25">
      <c r="A25" s="36">
        <v>24.0</v>
      </c>
      <c r="B25" s="36" t="str">
        <f>HLOOKUP(B$1,google_form!$1:$183,$A25,FALSE)</f>
        <v>Gridded surface</v>
      </c>
      <c r="C25" s="36" t="str">
        <f>HLOOKUP(C$1,google_form!$1:$183,$A25,FALSE)</f>
        <v>Surface pH and Revelle Factor</v>
      </c>
      <c r="D25" s="36" t="str">
        <f>HLOOKUP(D$1,google_form!$1:$183,$A25,FALSE)</f>
        <v>Jiang et al. (2019)</v>
      </c>
      <c r="E25" s="40" t="str">
        <f>HLOOKUP(E$1,google_form!$1:$183,$A25,FALSE)</f>
        <v>https://media.springernature.com/lw685/springer-static/image/art%3A10.1038%2Fs41598-019-55039-4/MediaObjects/41598_2019_55039_Fig6_HTML.png</v>
      </c>
      <c r="F25" s="36" t="str">
        <f t="shared" ref="F25:G25" si="92">if(ISBLANK($C25), "", F$1)</f>
        <v>fa-solid fa-globe</v>
      </c>
      <c r="G25" s="36" t="str">
        <f t="shared" si="92"/>
        <v>Spatial domains</v>
      </c>
      <c r="H25" s="36" t="str">
        <f>HLOOKUP(H$1,google_form!$1:$183,$A25,FALSE)</f>
        <v>Open ocean, Surface</v>
      </c>
      <c r="I25" s="36" t="str">
        <f t="shared" ref="I25:J25" si="93">if(ISBLANK($C25), "", I$1)</f>
        <v>fa-solid fa-hourglass-start</v>
      </c>
      <c r="J25" s="36" t="str">
        <f t="shared" si="93"/>
        <v>Temporal resolution</v>
      </c>
      <c r="K25" s="36" t="str">
        <f>HLOOKUP(K$1,google_form!$1:$183,$A25,FALSE)</f>
        <v>decadal, climatology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1770 - 2100</v>
      </c>
      <c r="R25" s="36" t="str">
        <f>HLOOKUP(R$1,google_form!$1:$183,$A25,FALSE)</f>
        <v>A model-observation fusion product for pH, acidity and Revelle Factor, leveraging GFDL-ESM2M and SOCATv6</v>
      </c>
      <c r="S25" s="36" t="str">
        <f>HLOOKUP(S$1,google_form!$1:$183,$A25,FALSE)</f>
        <v>Jiang et al. (2019)</v>
      </c>
      <c r="T25" s="40" t="str">
        <f>HLOOKUP(T$1,google_form!$1:$183,$A25,FALSE)</f>
        <v>https://doi.org/10.1038/s41598-019-55039-4</v>
      </c>
      <c r="U25" s="40" t="str">
        <f>HLOOKUP(U$1,google_form!$1:$183,$A25,FALSE)</f>
        <v>https://www.ncei.noaa.gov/data/oceans/ncei/ocads/metadata/0206289.html </v>
      </c>
      <c r="V25" s="36" t="str">
        <f t="shared" si="10"/>
        <v>Description</v>
      </c>
      <c r="W25" s="36" t="str">
        <f>HLOOKUP(W$1,google_form!$1:$183,$A25,FALSE)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5" s="36" t="str">
        <f t="shared" si="11"/>
        <v>Reference</v>
      </c>
      <c r="Y25" s="36" t="str">
        <f>HLOOKUP(Y$1,google_form!$1:$183,$A25,FALSE)</f>
        <v>Jiang, L.-Q., Carter, B. R., Feely, R. A., Lauvset, S., and Olsen, A.: Surface ocean pH and buffer capacity: Past, present and future, Scientific Reports, 9(1), 18624, https://doi.org/10.1038/s41598-019-55039-4, 2019. </v>
      </c>
    </row>
    <row r="26">
      <c r="A26" s="36">
        <v>25.0</v>
      </c>
      <c r="B26" s="36" t="str">
        <f>HLOOKUP(B$1,google_form!$1:$183,$A26,FALSE)</f>
        <v>Gridded surface</v>
      </c>
      <c r="C26" s="36" t="str">
        <f>HLOOKUP(C$1,google_form!$1:$183,$A26,FALSE)</f>
        <v>Surface OA Indicators </v>
      </c>
      <c r="D26" s="36" t="str">
        <f>HLOOKUP(D$1,google_form!$1:$183,$A26,FALSE)</f>
        <v>Jiang et al. (2023)</v>
      </c>
      <c r="E26" s="40" t="str">
        <f>HLOOKUP(E$1,google_form!$1:$183,$A26,FALSE)</f>
        <v>https://agupubs.onlinelibrary.wiley.com/cms/asset/9184aab2-af20-4a63-9a8f-d0a99a4602bc/jame21817-fig-0008-m.jpg</v>
      </c>
      <c r="F26" s="36" t="str">
        <f t="shared" ref="F26:G26" si="96">if(ISBLANK($C26), "", F$1)</f>
        <v>fa-solid fa-globe</v>
      </c>
      <c r="G26" s="36" t="str">
        <f t="shared" si="96"/>
        <v>Spatial domains</v>
      </c>
      <c r="H26" s="36" t="str">
        <f>HLOOKUP(H$1,google_form!$1:$183,$A26,FALSE)</f>
        <v>Open ocean, Surface</v>
      </c>
      <c r="I26" s="36" t="str">
        <f t="shared" ref="I26:J26" si="97">if(ISBLANK($C26), "", I$1)</f>
        <v>fa-solid fa-hourglass-start</v>
      </c>
      <c r="J26" s="36" t="str">
        <f t="shared" si="97"/>
        <v>Temporal resolution</v>
      </c>
      <c r="K26" s="36" t="str">
        <f>HLOOKUP(K$1,google_form!$1:$183,$A26,FALSE)</f>
        <v>decadal, climatology</v>
      </c>
      <c r="L26" s="36" t="str">
        <f t="shared" ref="L26:M26" si="98">if(ISBLANK($C26), "", L$1)</f>
        <v>fa-solid fa-ruler-horizontal</v>
      </c>
      <c r="M26" s="36" t="str">
        <f t="shared" si="98"/>
        <v>Spatial resolution</v>
      </c>
      <c r="N26" s="41" t="str">
        <f>HLOOKUP(N$1,google_form!$1:$183,$A26,FALSE)</f>
        <v>1° x 1°</v>
      </c>
      <c r="O26" s="36" t="str">
        <f t="shared" ref="O26:P26" si="99">if(ISBLANK($C26), "", O$1)</f>
        <v>fa-solid fa-calendar-days</v>
      </c>
      <c r="P26" s="36" t="str">
        <f t="shared" si="99"/>
        <v>Period</v>
      </c>
      <c r="Q26" s="36" t="str">
        <f>HLOOKUP(Q$1,google_form!$1:$183,$A26,FALSE)</f>
        <v>1750 - 2100</v>
      </c>
      <c r="R26" s="36" t="str">
        <f>HLOOKUP(R$1,google_form!$1:$183,$A26,FALSE)</f>
        <v>A model-observation fusion product for all major OA indicators, leveraging a consortium of 14 Earth System Models and 3 observational data products</v>
      </c>
      <c r="S26" s="36" t="str">
        <f>HLOOKUP(S$1,google_form!$1:$183,$A26,FALSE)</f>
        <v>Jiang et al. (2023)</v>
      </c>
      <c r="T26" s="40" t="str">
        <f>HLOOKUP(T$1,google_form!$1:$183,$A26,FALSE)</f>
        <v>https://doi.org/10.1029/2022MS003563</v>
      </c>
      <c r="U26" s="40" t="str">
        <f>HLOOKUP(U$1,google_form!$1:$183,$A26,FALSE)</f>
        <v>https://www.ncei.noaa.gov/data/oceans/ncei/ocads/metadata/0259391.html</v>
      </c>
      <c r="V26" s="36" t="str">
        <f t="shared" si="10"/>
        <v>Description</v>
      </c>
      <c r="W26" s="36" t="str">
        <f>HLOOKUP(W$1,google_form!$1:$183,$A26,FALSE)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6" s="36" t="str">
        <f t="shared" si="11"/>
        <v>Reference</v>
      </c>
      <c r="Y26" s="36" t="str">
        <f>HLOOKUP(Y$1,google_form!$1:$183,$A26,FALSE)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7">
      <c r="A27" s="36">
        <v>26.0</v>
      </c>
      <c r="B27" s="36" t="str">
        <f>HLOOKUP(B$1,google_form!$1:$183,$A27,FALSE)</f>
        <v>Gridded surface</v>
      </c>
      <c r="C27" s="36" t="str">
        <f>HLOOKUP(C$1,google_form!$1:$183,$A27,FALSE)</f>
        <v>AOML-ET</v>
      </c>
      <c r="D27" s="36" t="str">
        <f>HLOOKUP(D$1,google_form!$1:$183,$A27,FALSE)</f>
        <v>Wanninkhof et al. (2015)</v>
      </c>
      <c r="E27" s="40" t="str">
        <f>HLOOKUP(E$1,google_form!$1:$183,$A27,FALSE)</f>
        <v>https://www.ncei.noaa.gov/data/oceans/archive/arc0235/0298989/2.2/about/0298989_preview.jpg</v>
      </c>
      <c r="F27" s="36" t="str">
        <f t="shared" ref="F27:G27" si="100">if(ISBLANK($C27), "", F$1)</f>
        <v>fa-solid fa-globe</v>
      </c>
      <c r="G27" s="36" t="str">
        <f t="shared" si="100"/>
        <v>Spatial domains</v>
      </c>
      <c r="H27" s="36" t="str">
        <f>HLOOKUP(H$1,google_form!$1:$183,$A27,FALSE)</f>
        <v>Open ocean, Surface</v>
      </c>
      <c r="I27" s="36" t="str">
        <f t="shared" ref="I27:J27" si="101">if(ISBLANK($C27), "", I$1)</f>
        <v>fa-solid fa-hourglass-start</v>
      </c>
      <c r="J27" s="36" t="str">
        <f t="shared" si="101"/>
        <v>Temporal resolution</v>
      </c>
      <c r="K27" s="36" t="str">
        <f>HLOOKUP(K$1,google_form!$1:$183,$A27,FALSE)</f>
        <v>monthly, climatology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1998 - 2023</v>
      </c>
      <c r="R27" s="36" t="str">
        <f>HLOOKUP(R$1,google_form!$1:$183,$A27,FALSE)</f>
        <v>Monthly global sea-air CO2 flux maps in modern era</v>
      </c>
      <c r="S27" s="36" t="str">
        <f>HLOOKUP(S$1,google_form!$1:$183,$A27,FALSE)</f>
        <v>Wanninkhof et al. (2015)</v>
      </c>
      <c r="T27" s="40" t="str">
        <f>HLOOKUP(T$1,google_form!$1:$183,$A27,FALSE)</f>
        <v>https://doi.org/10.1029/2024GB008315</v>
      </c>
      <c r="U27" s="40" t="str">
        <f>HLOOKUP(U$1,google_form!$1:$183,$A27,FALSE)</f>
        <v>https://www.ncei.noaa.gov/data/oceans/ncei/ocads/metadata/0298989.html</v>
      </c>
      <c r="V27" s="36" t="str">
        <f t="shared" si="10"/>
        <v>Description</v>
      </c>
      <c r="W27" s="36" t="str">
        <f>HLOOKUP(W$1,google_form!$1:$183,$A27,FALSE)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7" s="36" t="str">
        <f t="shared" si="11"/>
        <v>Reference</v>
      </c>
      <c r="Y27" s="36" t="str">
        <f>HLOOKUP(Y$1,google_form!$1:$183,$A27,FALSE)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8">
      <c r="A28" s="36">
        <v>27.0</v>
      </c>
      <c r="B28" s="36" t="str">
        <f>HLOOKUP(B$1,google_form!$1:$183,$A28,FALSE)</f>
        <v>Gridded surface</v>
      </c>
      <c r="C28" s="36" t="str">
        <f>HLOOKUP(C$1,google_form!$1:$183,$A28,FALSE)</f>
        <v>Gridded Surface OA Indicators in the Northern Caribbean Sea</v>
      </c>
      <c r="D28" s="36" t="str">
        <f>HLOOKUP(D$1,google_form!$1:$183,$A28,FALSE)</f>
        <v>Wanninkhof et al. (2020)</v>
      </c>
      <c r="E28" s="40" t="str">
        <f>HLOOKUP(E$1,google_form!$1:$183,$A28,FALSE)</f>
        <v>https://essd.copernicus.org/articles/12/1489/2020/essd-12-1489-2020-avatar-web.png</v>
      </c>
      <c r="F28" s="36" t="str">
        <f t="shared" ref="F28:G28" si="104">if(ISBLANK($C28), "", F$1)</f>
        <v>fa-solid fa-globe</v>
      </c>
      <c r="G28" s="36" t="str">
        <f t="shared" si="104"/>
        <v>Spatial domains</v>
      </c>
      <c r="H28" s="36" t="str">
        <f>HLOOKUP(H$1,google_form!$1:$183,$A28,FALSE)</f>
        <v>Coastal ocean </v>
      </c>
      <c r="I28" s="36" t="str">
        <f t="shared" ref="I28:J28" si="105">if(ISBLANK($C28), "", I$1)</f>
        <v>fa-solid fa-hourglass-start</v>
      </c>
      <c r="J28" s="36" t="str">
        <f t="shared" si="105"/>
        <v>Temporal resolution</v>
      </c>
      <c r="K28" s="36" t="str">
        <f>HLOOKUP(K$1,google_form!$1:$183,$A28,FALSE)</f>
        <v>monthly, climatology</v>
      </c>
      <c r="L28" s="36" t="str">
        <f t="shared" ref="L28:M28" si="106">if(ISBLANK($C28), "", L$1)</f>
        <v>fa-solid fa-ruler-horizontal</v>
      </c>
      <c r="M28" s="36" t="str">
        <f t="shared" si="106"/>
        <v>Spatial resolution</v>
      </c>
      <c r="N28" s="41" t="str">
        <f>HLOOKUP(N$1,google_form!$1:$183,$A28,FALSE)</f>
        <v>1° x 1°</v>
      </c>
      <c r="O28" s="36" t="str">
        <f t="shared" ref="O28:P28" si="107">if(ISBLANK($C28), "", O$1)</f>
        <v>fa-solid fa-calendar-days</v>
      </c>
      <c r="P28" s="36" t="str">
        <f t="shared" si="107"/>
        <v>Period</v>
      </c>
      <c r="Q28" s="36" t="str">
        <f>HLOOKUP(Q$1,google_form!$1:$183,$A28,FALSE)</f>
        <v>2002 - 2019</v>
      </c>
      <c r="R28" s="36" t="str">
        <f>HLOOKUP(R$1,google_form!$1:$183,$A28,FALSE)</f>
        <v>A 17-year record of  fCO2, TA, pH, Ωarag, and air-sea CO2 flux in the Caribbean Sea </v>
      </c>
      <c r="S28" s="36" t="str">
        <f>HLOOKUP(S$1,google_form!$1:$183,$A28,FALSE)</f>
        <v>Wanninkhof et al. (2020)</v>
      </c>
      <c r="T28" s="40" t="str">
        <f>HLOOKUP(T$1,google_form!$1:$183,$A28,FALSE)</f>
        <v>https://doi.org/10.5194/essd-12-1489-2020</v>
      </c>
      <c r="U28" s="40" t="str">
        <f>HLOOKUP(U$1,google_form!$1:$183,$A28,FALSE)</f>
        <v>https://www.ncei.noaa.gov/data/oceans/ncei/ocads/metadata/0207749.html </v>
      </c>
      <c r="V28" s="36" t="str">
        <f t="shared" si="10"/>
        <v>Description</v>
      </c>
      <c r="W28" s="36" t="str">
        <f>HLOOKUP(W$1,google_form!$1:$183,$A28,FALSE)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8" s="36" t="str">
        <f t="shared" si="11"/>
        <v>Reference</v>
      </c>
      <c r="Y28" s="36" t="str">
        <f>HLOOKUP(Y$1,google_form!$1:$183,$A28,FALSE)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9">
      <c r="A29" s="36">
        <v>28.0</v>
      </c>
      <c r="B29" s="36" t="str">
        <f>HLOOKUP(B$1,google_form!$1:$183,$A29,FALSE)</f>
        <v>Gridded surface</v>
      </c>
      <c r="C29" s="36" t="str">
        <f>HLOOKUP(C$1,google_form!$1:$183,$A29,FALSE)</f>
        <v>MPI-ULB-SOM-FFN</v>
      </c>
      <c r="D29" s="36" t="str">
        <f>HLOOKUP(D$1,google_form!$1:$183,$A29,FALSE)</f>
        <v>Landschützer et al. (2020) </v>
      </c>
      <c r="E29" s="40" t="str">
        <f>HLOOKUP(E$1,google_form!$1:$183,$A29,FALSE)</f>
        <v>https://essd.copernicus.org/articles/12/2537/2020/essd-12-2537-2020-avatar-web.png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0.25° x 0.25°</v>
      </c>
      <c r="O29" s="36" t="str">
        <f t="shared" ref="O29:P29" si="111">if(ISBLANK($C29), "", O$1)</f>
        <v>fa-solid fa-calendar-days</v>
      </c>
      <c r="P29" s="36" t="str">
        <f t="shared" si="111"/>
        <v>Period</v>
      </c>
      <c r="Q29" s="36" t="str">
        <f>HLOOKUP(Q$1,google_form!$1:$183,$A29,FALSE)</f>
        <v/>
      </c>
      <c r="R29" s="36" t="str">
        <f>HLOOKUP(R$1,google_form!$1:$183,$A29,FALSE)</f>
        <v>Monthly gridded pCO2 without adjusting for a specific reference year, high-resolution coastal ocean coverage. </v>
      </c>
      <c r="S29" s="36" t="str">
        <f>HLOOKUP(S$1,google_form!$1:$183,$A29,FALSE)</f>
        <v>Landschützer et al. (2020) </v>
      </c>
      <c r="T29" s="40" t="str">
        <f>HLOOKUP(T$1,google_form!$1:$183,$A29,FALSE)</f>
        <v>https://doi.org/10.5194/essd-12-2537-2020</v>
      </c>
      <c r="U29" s="40" t="str">
        <f>HLOOKUP(U$1,google_form!$1:$183,$A29,FALSE)</f>
        <v>https://www.ncei.noaa.gov/access/ocean-carbon-acidification-data-system/oceans/MPI-ULB-SOM_FFN_clim.html</v>
      </c>
      <c r="V29" s="36" t="str">
        <f t="shared" si="10"/>
        <v>Description</v>
      </c>
      <c r="W29" s="36" t="str">
        <f>HLOOKUP(W$1,google_form!$1:$183,$A29,FALSE)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9" s="36" t="str">
        <f t="shared" si="11"/>
        <v>Reference</v>
      </c>
      <c r="Y29" s="36" t="str">
        <f>HLOOKUP(Y$1,google_form!$1:$183,$A29,FALSE)</f>
        <v>Landschützer, P., Laruelle, G. G., Roobaert, A., and Regnier, P.: A uniform pCO2 climatology combining open and coastal oceans, Earth Syst. Sci. Data, 12, 2537–2553, https://doi.org/10.5194/essd-12-2537-2020, 2020. </v>
      </c>
    </row>
    <row r="30">
      <c r="A30" s="36">
        <v>29.0</v>
      </c>
      <c r="B30" s="36" t="str">
        <f>HLOOKUP(B$1,google_form!$1:$183,$A30,FALSE)</f>
        <v>Gridded surface</v>
      </c>
      <c r="C30" s="36" t="str">
        <f>HLOOKUP(C$1,google_form!$1:$183,$A30,FALSE)</f>
        <v>VLIZ-SOM-FFN</v>
      </c>
      <c r="D30" s="36" t="str">
        <f>HLOOKUP(D$1,google_form!$1:$183,$A30,FALSE)</f>
        <v>Landschützer et al. (2016) </v>
      </c>
      <c r="E30" s="40" t="str">
        <f>HLOOKUP(E$1,google_form!$1:$183,$A30,FALSE)</f>
        <v>https://www.ncei.noaa.gov/data/oceans/archive/arc0105/0160558/8.8/about/0160558_preview.png</v>
      </c>
      <c r="F30" s="36" t="str">
        <f t="shared" ref="F30:G30" si="112">if(ISBLANK($C30), "", F$1)</f>
        <v>fa-solid fa-globe</v>
      </c>
      <c r="G30" s="36" t="str">
        <f t="shared" si="112"/>
        <v>Spatial domains</v>
      </c>
      <c r="H30" s="36" t="str">
        <f>HLOOKUP(H$1,google_form!$1:$183,$A30,FALSE)</f>
        <v>Open ocean</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1° x 1°</v>
      </c>
      <c r="O30" s="36" t="str">
        <f t="shared" ref="O30:P30" si="115">if(ISBLANK($C30), "", O$1)</f>
        <v>fa-solid fa-calendar-days</v>
      </c>
      <c r="P30" s="36" t="str">
        <f t="shared" si="115"/>
        <v>Period</v>
      </c>
      <c r="Q30" s="36" t="str">
        <f>HLOOKUP(Q$1,google_form!$1:$183,$A30,FALSE)</f>
        <v>1982 - 2025</v>
      </c>
      <c r="R30" s="36" t="str">
        <f>HLOOKUP(R$1,google_form!$1:$183,$A30,FALSE)</f>
        <v>Monthly gridded pCO2 from 1982 through near present</v>
      </c>
      <c r="S30" s="36" t="str">
        <f>HLOOKUP(S$1,google_form!$1:$183,$A30,FALSE)</f>
        <v>Landschützer et al. (2016) </v>
      </c>
      <c r="T30" s="40" t="str">
        <f>HLOOKUP(T$1,google_form!$1:$183,$A30,FALSE)</f>
        <v>https://doi.org/10.1002/2015gb005359</v>
      </c>
      <c r="U30" s="40" t="str">
        <f>HLOOKUP(U$1,google_form!$1:$183,$A30,FALSE)</f>
        <v>https://www.ncei.noaa.gov/data/oceans/ncei/ocads/metadata/0160558.html</v>
      </c>
      <c r="V30" s="36" t="str">
        <f t="shared" si="10"/>
        <v>Description</v>
      </c>
      <c r="W30" s="36" t="str">
        <f>HLOOKUP(W$1,google_form!$1:$183,$A30,FALSE)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30" s="36" t="str">
        <f t="shared" si="11"/>
        <v>Reference</v>
      </c>
      <c r="Y30" s="36" t="str">
        <f>HLOOKUP(Y$1,google_form!$1:$183,$A30,FALSE)</f>
        <v>Landschützer, P., Gruber, N., and Bakker, D. C. E.: Decadal variations and trends of the Global Ocean Carbon Sink, Global Biogeochemical Cycles, 30(10), 1396–1417. https://doi.org/10.1002/2015gb005359, 2016. </v>
      </c>
    </row>
    <row r="31">
      <c r="A31" s="36">
        <v>30.0</v>
      </c>
      <c r="B31" s="36" t="str">
        <f>HLOOKUP(B$1,google_form!$1:$183,$A31,FALSE)</f>
        <v>Gridded surface</v>
      </c>
      <c r="C31" s="36" t="str">
        <f>HLOOKUP(C$1,google_form!$1:$183,$A31,FALSE)</f>
        <v>RFR-LME</v>
      </c>
      <c r="D31" s="36" t="str">
        <f>HLOOKUP(D$1,google_form!$1:$183,$A31,FALSE)</f>
        <v>Sharp et al. (2024)</v>
      </c>
      <c r="E31" s="40" t="str">
        <f>HLOOKUP(E$1,google_form!$1:$183,$A31,FALSE)</f>
        <v>https://i.ibb.co/ynxb1Hry/Screenshot-2025-11-07-at-09-32-32.png</v>
      </c>
      <c r="F31" s="36" t="str">
        <f t="shared" ref="F31:G31" si="116">if(ISBLANK($C31), "", F$1)</f>
        <v>fa-solid fa-globe</v>
      </c>
      <c r="G31" s="36" t="str">
        <f t="shared" si="116"/>
        <v>Spatial domains</v>
      </c>
      <c r="H31" s="36" t="str">
        <f>HLOOKUP(H$1,google_form!$1:$183,$A31,FALSE)</f>
        <v>Coastal ocean, Surface, Regional</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0.25° x 0.25°</v>
      </c>
      <c r="O31" s="36" t="str">
        <f t="shared" ref="O31:P31" si="119">if(ISBLANK($C31), "", O$1)</f>
        <v>fa-solid fa-calendar-days</v>
      </c>
      <c r="P31" s="36" t="str">
        <f t="shared" si="119"/>
        <v>Period</v>
      </c>
      <c r="Q31" s="36" t="str">
        <f>HLOOKUP(Q$1,google_form!$1:$183,$A31,FALSE)</f>
        <v>1998 - 2024</v>
      </c>
      <c r="R31" s="36" t="str">
        <f>HLOOKUP(R$1,google_form!$1:$183,$A31,FALSE)</f>
        <v>Temporal trends of OA indicators and estimated uncertainties across 11 U.S. Large Marine Ecosystems (LMEs), with monthly coverage from 1998–2024.</v>
      </c>
      <c r="S31" s="36" t="str">
        <f>HLOOKUP(S$1,google_form!$1:$183,$A31,FALSE)</f>
        <v>Sharp et al. (2024)</v>
      </c>
      <c r="T31" s="40" t="str">
        <f>HLOOKUP(T$1,google_form!$1:$183,$A31,FALSE)</f>
        <v>https://doi.org/10.1038/s41597-024-03530-7</v>
      </c>
      <c r="U31" s="40" t="str">
        <f>HLOOKUP(U$1,google_form!$1:$183,$A31,FALSE)</f>
        <v>https://www.ncei.noaa.gov/data/oceans/ncei/ocads/metadata/0287551.html</v>
      </c>
      <c r="V31" s="36" t="str">
        <f t="shared" si="10"/>
        <v>Description</v>
      </c>
      <c r="W31" s="36" t="str">
        <f>HLOOKUP(W$1,google_form!$1:$183,$A31,FALSE)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1" s="36" t="str">
        <f t="shared" si="11"/>
        <v>Reference</v>
      </c>
      <c r="Y31" s="36" t="str">
        <f>HLOOKUP(Y$1,google_form!$1:$183,$A31,FALSE)</f>
        <v>Sharp, J. D., Jiang, L.-Q., Carter, B. R., Lavin, P. D., Yoo, H., and Cross, S. L., 2024. A mapped dataset of surface ocean acidification indicators in large marine ecosystems of the United States, Sci. Data, 11, 715,  https://doi.org/10.1038/s41597-024-03530-7.</v>
      </c>
    </row>
    <row r="32">
      <c r="A32" s="36">
        <v>31.0</v>
      </c>
      <c r="B32" s="36" t="str">
        <f>HLOOKUP(B$1,google_form!$1:$183,$A32,FALSE)</f>
        <v>Gridded surface</v>
      </c>
      <c r="C32" s="36" t="str">
        <f>HLOOKUP(C$1,google_form!$1:$183,$A32,FALSE)</f>
        <v>CMEMS-LSCEv1</v>
      </c>
      <c r="D32" s="36" t="str">
        <f>HLOOKUP(D$1,google_form!$1:$183,$A32,FALSE)</f>
        <v>Chau et al. (2022)</v>
      </c>
      <c r="E32" s="40" t="str">
        <f>HLOOKUP(E$1,google_form!$1:$183,$A32,FALSE)</f>
        <v>https://bg.copernicus.org/articles/19/1087/2022/bg-19-1087-2022-avatar-web.png</v>
      </c>
      <c r="F32" s="36" t="str">
        <f t="shared" ref="F32:G32" si="120">if(ISBLANK($C32), "", F$1)</f>
        <v>fa-solid fa-globe</v>
      </c>
      <c r="G32" s="36" t="str">
        <f t="shared" si="120"/>
        <v>Spatial domains</v>
      </c>
      <c r="H32" s="36" t="str">
        <f>HLOOKUP(H$1,google_form!$1:$183,$A32,FALSE)</f>
        <v>Open ocean, Coastal ocean, Surface</v>
      </c>
      <c r="I32" s="36" t="str">
        <f t="shared" ref="I32:J32" si="121">if(ISBLANK($C32), "", I$1)</f>
        <v>fa-solid fa-hourglass-start</v>
      </c>
      <c r="J32" s="36" t="str">
        <f t="shared" si="121"/>
        <v>Temporal resolution</v>
      </c>
      <c r="K32" s="36" t="str">
        <f>HLOOKUP(K$1,google_form!$1:$183,$A32,FALSE)</f>
        <v>monthly, climatology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1985 - 2019</v>
      </c>
      <c r="R32" s="36" t="str">
        <f>HLOOKUP(R$1,google_form!$1:$183,$A32,FALSE)</f>
        <v>seamless reconstruction from coastal to open ocean</v>
      </c>
      <c r="S32" s="36" t="str">
        <f>HLOOKUP(S$1,google_form!$1:$183,$A32,FALSE)</f>
        <v>Chau et al. (2022)</v>
      </c>
      <c r="T32" s="40" t="str">
        <f>HLOOKUP(T$1,google_form!$1:$183,$A32,FALSE)</f>
        <v>https://doi.org/10.5194/bg-19-1087-2022</v>
      </c>
      <c r="U32" s="40" t="str">
        <f>HLOOKUP(U$1,google_form!$1:$183,$A32,FALSE)</f>
        <v>https://data.ipsl.fr/catalog/srv/eng/catalog.search#/metadata/a2f0891b-763a-49e9-af1b-78ed78b16982</v>
      </c>
      <c r="V32" s="36" t="str">
        <f t="shared" si="10"/>
        <v>Description</v>
      </c>
      <c r="W32" s="36" t="str">
        <f>HLOOKUP(W$1,google_form!$1:$183,$A32,FALSE)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2" s="36" t="str">
        <f t="shared" si="11"/>
        <v>Reference</v>
      </c>
      <c r="Y32" s="36" t="str">
        <f>HLOOKUP(Y$1,google_form!$1:$183,$A32,FALSE)</f>
        <v>Chau, T.-T.-T., Gehlen, M., and Chevallier, F.: A seamless ensemble-based reconstruction of surface ocean pCO2 and air–sea CO2 fluxes over the global coastal and open oceans. Biogeosciences, 19(4), 1087–1109,  https://doi.org/10.5194/bg-19-1087-2022, 2022.</v>
      </c>
    </row>
    <row r="33">
      <c r="A33" s="36">
        <v>32.0</v>
      </c>
      <c r="B33" s="36" t="str">
        <f>HLOOKUP(B$1,google_form!$1:$183,$A33,FALSE)</f>
        <v>Gridded surface</v>
      </c>
      <c r="C33" s="36" t="str">
        <f>HLOOKUP(C$1,google_form!$1:$183,$A33,FALSE)</f>
        <v>CMEMS-LSCEv2</v>
      </c>
      <c r="D33" s="36" t="str">
        <f>HLOOKUP(D$1,google_form!$1:$183,$A33,FALSE)</f>
        <v>Chau et al. (2024)</v>
      </c>
      <c r="E33" s="40" t="str">
        <f>HLOOKUP(E$1,google_form!$1:$183,$A33,FALSE)</f>
        <v>https://essd.copernicus.org/articles/16/121/2024/essd-16-121-2024-avatar-web.png</v>
      </c>
      <c r="F33" s="36" t="str">
        <f t="shared" ref="F33:G33" si="124">if(ISBLANK($C33), "", F$1)</f>
        <v>fa-solid fa-globe</v>
      </c>
      <c r="G33" s="36" t="str">
        <f t="shared" si="124"/>
        <v>Spatial domains</v>
      </c>
      <c r="H33" s="36" t="str">
        <f>HLOOKUP(H$1,google_form!$1:$183,$A33,FALSE)</f>
        <v>Open ocean, Coastal ocean, Surface</v>
      </c>
      <c r="I33" s="36" t="str">
        <f t="shared" ref="I33:J33" si="125">if(ISBLANK($C33), "", I$1)</f>
        <v>fa-solid fa-hourglass-start</v>
      </c>
      <c r="J33" s="36" t="str">
        <f t="shared" si="125"/>
        <v>Temporal resolution</v>
      </c>
      <c r="K33" s="36" t="str">
        <f>HLOOKUP(K$1,google_form!$1:$183,$A33,FALSE)</f>
        <v>monthly, climatology</v>
      </c>
      <c r="L33" s="36" t="str">
        <f t="shared" ref="L33:M33" si="126">if(ISBLANK($C33), "", L$1)</f>
        <v>fa-solid fa-ruler-horizontal</v>
      </c>
      <c r="M33" s="36" t="str">
        <f t="shared" si="126"/>
        <v>Spatial resolution</v>
      </c>
      <c r="N33" s="41" t="str">
        <f>HLOOKUP(N$1,google_form!$1:$183,$A33,FALSE)</f>
        <v>0.25° x 0.25°</v>
      </c>
      <c r="O33" s="36" t="str">
        <f t="shared" ref="O33:P33" si="127">if(ISBLANK($C33), "", O$1)</f>
        <v>fa-solid fa-calendar-days</v>
      </c>
      <c r="P33" s="36" t="str">
        <f t="shared" si="127"/>
        <v>Period</v>
      </c>
      <c r="Q33" s="36" t="str">
        <f>HLOOKUP(Q$1,google_form!$1:$183,$A33,FALSE)</f>
        <v>1985 - 2025</v>
      </c>
      <c r="R33" s="36" t="str">
        <f>HLOOKUP(R$1,google_form!$1:$183,$A33,FALSE)</f>
        <v>Yearly extension of time-series &amp; monthly reconstruction at low latency</v>
      </c>
      <c r="S33" s="36" t="str">
        <f>HLOOKUP(S$1,google_form!$1:$183,$A33,FALSE)</f>
        <v>Chau et al. (2024)</v>
      </c>
      <c r="T33" s="40" t="str">
        <f>HLOOKUP(T$1,google_form!$1:$183,$A33,FALSE)</f>
        <v>https://doi.org/10.5194/essd-16-121-2024</v>
      </c>
      <c r="U33" s="40" t="str">
        <f>HLOOKUP(U$1,google_form!$1:$183,$A33,FALSE)</f>
        <v>https://doi.org/10.48670/moi-00047</v>
      </c>
      <c r="V33" s="36" t="str">
        <f t="shared" si="10"/>
        <v>Description</v>
      </c>
      <c r="W33" s="36" t="str">
        <f>HLOOKUP(W$1,google_form!$1:$183,$A33,FALSE)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3" s="36" t="str">
        <f t="shared" si="11"/>
        <v>Reference</v>
      </c>
      <c r="Y33" s="36" t="str">
        <f>HLOOKUP(Y$1,google_form!$1:$183,$A33,FALSE)</f>
        <v>Chau, T.-T.-T., Gehlen, M., Metzl, N., and Chevallier, F.: CMEMS-LSCE: a global, 0.25°, monthly reconstruction of the surface ocean carbonate system, Earth Syst. Sci. Data, 16, 121–160, https://doi.org/10.5194/essd-16-121-2024, 2024. </v>
      </c>
    </row>
    <row r="34">
      <c r="A34" s="36">
        <v>33.0</v>
      </c>
      <c r="B34" s="36" t="str">
        <f>HLOOKUP(B$1,google_form!$1:$183,$A34,FALSE)</f>
        <v>Gridded surface</v>
      </c>
      <c r="C34" s="36" t="str">
        <f>HLOOKUP(C$1,google_form!$1:$183,$A34,FALSE)</f>
        <v>Stepwise-FFNN</v>
      </c>
      <c r="D34" s="36" t="str">
        <f>HLOOKUP(D$1,google_form!$1:$183,$A34,FALSE)</f>
        <v>Zhong et al. (2022)</v>
      </c>
      <c r="E34" s="40" t="str">
        <f>HLOOKUP(E$1,google_form!$1:$183,$A34,FALSE)</f>
        <v>https://appletmsdc.qdio.ac.cn//files/metadata/images/2025-08-14_1955061943601487874/DATA20251000212_11415094_1.jpg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1992 - 2024</v>
      </c>
      <c r="R34" s="36" t="str">
        <f>HLOOKUP(R$1,google_form!$1:$183,$A34,FALSE)</f>
        <v>ML-based selection of predictors considering regional differences of pCO2 drivers</v>
      </c>
      <c r="S34" s="36" t="str">
        <f>HLOOKUP(S$1,google_form!$1:$183,$A34,FALSE)</f>
        <v>Zhong et al. (2022)</v>
      </c>
      <c r="T34" s="40" t="str">
        <f>HLOOKUP(T$1,google_form!$1:$183,$A34,FALSE)</f>
        <v> http://doi.org/10.12157/IOCAS.20250814.001</v>
      </c>
      <c r="U34" s="40" t="str">
        <f>HLOOKUP(U$1,google_form!$1:$183,$A34,FALSE)</f>
        <v> http://doi.org/10.12157/IOCAS.20250814.001</v>
      </c>
      <c r="V34" s="36" t="str">
        <f t="shared" si="10"/>
        <v>Description</v>
      </c>
      <c r="W34" s="36" t="str">
        <f>HLOOKUP(W$1,google_form!$1:$183,$A34,FALSE)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4" s="36" t="str">
        <f t="shared" si="11"/>
        <v>Reference</v>
      </c>
      <c r="Y34" s="36" t="str">
        <f>HLOOKUP(Y$1,google_form!$1:$183,$A34,FALSE)</f>
        <v>Zhong, G., Li, X., Song, J., Qu, B., Wang, F., Wang, Y., ... &amp; Duan, L. 2022. Reconstruction of global surface ocean pCO2 using region-specific predictors based on a stepwise FFNN regression algorithm, Biogeosciences, 19, 845-859, https://doi.org/10.5194/bg-19-845-2022.</v>
      </c>
    </row>
    <row r="35">
      <c r="A35" s="36">
        <v>34.0</v>
      </c>
      <c r="B35" s="36" t="str">
        <f>HLOOKUP(B$1,google_form!$1:$183,$A35,FALSE)</f>
        <v>Gridded surface</v>
      </c>
      <c r="C35" s="36" t="str">
        <f>HLOOKUP(C$1,google_form!$1:$183,$A35,FALSE)</f>
        <v>JMA-MLR</v>
      </c>
      <c r="D35" s="36" t="str">
        <f>HLOOKUP(D$1,google_form!$1:$183,$A35,FALSE)</f>
        <v>Iida et al. (2021)</v>
      </c>
      <c r="E35" s="40" t="str">
        <f>HLOOKUP(E$1,google_form!$1:$183,$A35,FALSE)</f>
        <v>https://www.data.jma.go.jp/kaiyou/data/db/mar_env/results/co2_flux/animation/fluxmap_fig/flux_2023MN.png</v>
      </c>
      <c r="F35" s="36" t="str">
        <f t="shared" ref="F35:G35" si="132">if(ISBLANK($C35), "", F$1)</f>
        <v>fa-solid fa-globe</v>
      </c>
      <c r="G35" s="36" t="str">
        <f t="shared" si="132"/>
        <v>Spatial domains</v>
      </c>
      <c r="H35" s="36" t="str">
        <f>HLOOKUP(H$1,google_form!$1:$183,$A35,FALSE)</f>
        <v>Open ocean, Surface</v>
      </c>
      <c r="I35" s="36" t="str">
        <f t="shared" ref="I35:J35" si="133">if(ISBLANK($C35), "", I$1)</f>
        <v>fa-solid fa-hourglass-start</v>
      </c>
      <c r="J35" s="36" t="str">
        <f t="shared" si="133"/>
        <v>Temporal resolution</v>
      </c>
      <c r="K35" s="36" t="str">
        <f>HLOOKUP(K$1,google_form!$1:$183,$A35,FALSE)</f>
        <v>monthly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1990-2023</v>
      </c>
      <c r="R35" s="36" t="str">
        <f>HLOOKUP(R$1,google_form!$1:$183,$A35,FALSE)</f>
        <v>Temporal trends of DIC, TA, pCO2, air-sea CO2 flux, pH, and Ωarag.</v>
      </c>
      <c r="S35" s="36" t="str">
        <f>HLOOKUP(S$1,google_form!$1:$183,$A35,FALSE)</f>
        <v>Iida et al. (2021)</v>
      </c>
      <c r="T35" s="40" t="str">
        <f>HLOOKUP(T$1,google_form!$1:$183,$A35,FALSE)</f>
        <v>https://doi.org/10.1007/s10872-020-00571-5</v>
      </c>
      <c r="U35" s="40" t="str">
        <f>HLOOKUP(U$1,google_form!$1:$183,$A35,FALSE)</f>
        <v>https://doi.org/10.1007/s10872-020-00571-5</v>
      </c>
      <c r="V35" s="36" t="str">
        <f t="shared" si="10"/>
        <v>Description</v>
      </c>
      <c r="W35" s="36" t="str">
        <f>HLOOKUP(W$1,google_form!$1:$183,$A35,FALSE)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5" s="36" t="str">
        <f t="shared" si="11"/>
        <v>Reference</v>
      </c>
      <c r="Y35" s="36" t="str">
        <f>HLOOKUP(Y$1,google_form!$1:$183,$A35,FALSE)</f>
        <v>Iida, Y., Takatani, Y., Kojima, A., and Ishii, M. 2021. Global trends of ocean CO2 sink and ocean acidification: An obsevation-based reconstruction of surface ocean inorganic carbon variables, J. Oceanogr. 77, 323-358, https://doi.org/10.1007/s10872-020-00571-5</v>
      </c>
    </row>
    <row r="36">
      <c r="A36" s="36">
        <v>35.0</v>
      </c>
      <c r="B36" s="36" t="str">
        <f>HLOOKUP(B$1,google_form!$1:$183,$A36,FALSE)</f>
        <v>Gridded surface</v>
      </c>
      <c r="C36" s="36" t="str">
        <f>HLOOKUP(C$1,google_form!$1:$183,$A36,FALSE)</f>
        <v>ULB-SOM-FFN-Coastalv2.1</v>
      </c>
      <c r="D36" s="36" t="str">
        <f>HLOOKUP(D$1,google_form!$1:$183,$A36,FALSE)</f>
        <v>Roobaert et al. (2024)</v>
      </c>
      <c r="E36" s="40" t="str">
        <f>HLOOKUP(E$1,google_form!$1:$183,$A36,FALSE)</f>
        <v>https://essd.copernicus.org/articles/16/421/2024/essd-16-421-2024-f01-web.png</v>
      </c>
      <c r="F36" s="36" t="str">
        <f t="shared" ref="F36:G36" si="136">if(ISBLANK($C36), "", F$1)</f>
        <v>fa-solid fa-globe</v>
      </c>
      <c r="G36" s="36" t="str">
        <f t="shared" si="136"/>
        <v>Spatial domains</v>
      </c>
      <c r="H36" s="36" t="str">
        <f>HLOOKUP(H$1,google_form!$1:$183,$A36,FALSE)</f>
        <v>Coastal ocean</v>
      </c>
      <c r="I36" s="36" t="str">
        <f t="shared" ref="I36:J36" si="137">if(ISBLANK($C36), "", I$1)</f>
        <v>fa-solid fa-hourglass-start</v>
      </c>
      <c r="J36" s="36" t="str">
        <f t="shared" si="137"/>
        <v>Temporal resolution</v>
      </c>
      <c r="K36" s="36" t="str">
        <f>HLOOKUP(K$1,google_form!$1:$183,$A36,FALSE)</f>
        <v>continuous, monthly</v>
      </c>
      <c r="L36" s="36" t="str">
        <f t="shared" ref="L36:M36" si="138">if(ISBLANK($C36), "", L$1)</f>
        <v>fa-solid fa-ruler-horizontal</v>
      </c>
      <c r="M36" s="36" t="str">
        <f t="shared" si="138"/>
        <v>Spatial resolution</v>
      </c>
      <c r="N36" s="41" t="str">
        <f>HLOOKUP(N$1,google_form!$1:$183,$A36,FALSE)</f>
        <v>0.25° x 0.25°</v>
      </c>
      <c r="O36" s="36" t="str">
        <f t="shared" ref="O36:P36" si="139">if(ISBLANK($C36), "", O$1)</f>
        <v>fa-solid fa-calendar-days</v>
      </c>
      <c r="P36" s="36" t="str">
        <f t="shared" si="139"/>
        <v>Period</v>
      </c>
      <c r="Q36" s="36" t="str">
        <f>HLOOKUP(Q$1,google_form!$1:$183,$A36,FALSE)</f>
        <v>1982-2020</v>
      </c>
      <c r="R36" s="36" t="str">
        <f>HLOOKUP(R$1,google_form!$1:$183,$A36,FALSE)</f>
        <v>Global temporal trends of coastal pCO2 and air-sea CO2 fluxes based on SOCATv2022 with data collected from 1982–2020</v>
      </c>
      <c r="S36" s="36" t="str">
        <f>HLOOKUP(S$1,google_form!$1:$183,$A36,FALSE)</f>
        <v>Roobaert et al. (2024)</v>
      </c>
      <c r="T36" s="40" t="str">
        <f>HLOOKUP(T$1,google_form!$1:$183,$A36,FALSE)</f>
        <v>https://doi.org/10.5194/essd-16-421-2024</v>
      </c>
      <c r="U36" s="40" t="str">
        <f>HLOOKUP(U$1,google_form!$1:$183,$A36,FALSE)</f>
        <v>https://doi.org/10.25921/4sde-p068</v>
      </c>
      <c r="V36" s="36" t="str">
        <f t="shared" si="10"/>
        <v>Description</v>
      </c>
      <c r="W36" s="36" t="str">
        <f>HLOOKUP(W$1,google_form!$1:$183,$A36,FALSE)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6" s="36" t="str">
        <f t="shared" si="11"/>
        <v>Reference</v>
      </c>
      <c r="Y36" s="36" t="str">
        <f>HLOOKUP(Y$1,google_form!$1:$183,$A36,FALSE)</f>
        <v>Roobaert, A., Regnier, P., Landschützer, P., and Laruelle, G. G.: A novel sea surface pCO2-product for the global coastal ocean resolving trends over 1982–2020, Earth System Science Data, 16(1), 421–441, https://doi.org/10.5194/essd-16-421-2024, 2024.</v>
      </c>
    </row>
    <row r="37">
      <c r="A37" s="36">
        <v>36.0</v>
      </c>
      <c r="B37" s="36" t="str">
        <f>HLOOKUP(B$1,google_form!$1:$183,$A37,FALSE)</f>
        <v>Gridded surface</v>
      </c>
      <c r="C37" s="36" t="str">
        <f>HLOOKUP(C$1,google_form!$1:$183,$A37,FALSE)</f>
        <v>NIES-ML3</v>
      </c>
      <c r="D37" s="36" t="str">
        <f>HLOOKUP(D$1,google_form!$1:$183,$A37,FALSE)</f>
        <v>Zeng et al. (2022)</v>
      </c>
      <c r="E37" s="40" t="str">
        <f>HLOOKUP(E$1,google_form!$1:$183,$A37,FALSE)</f>
        <v>https://i.ibb.co/zW1nfm1f/Picture3b.png</v>
      </c>
      <c r="F37" s="36" t="str">
        <f t="shared" ref="F37:G37" si="140">if(ISBLANK($C37), "", F$1)</f>
        <v>fa-solid fa-globe</v>
      </c>
      <c r="G37" s="36" t="str">
        <f t="shared" si="140"/>
        <v>Spatial domains</v>
      </c>
      <c r="H37" s="36" t="str">
        <f>HLOOKUP(H$1,google_form!$1:$183,$A37,FALSE)</f>
        <v>Open ocean, Surface</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1° x 1°</v>
      </c>
      <c r="O37" s="36" t="str">
        <f t="shared" ref="O37:P37" si="143">if(ISBLANK($C37), "", O$1)</f>
        <v>fa-solid fa-calendar-days</v>
      </c>
      <c r="P37" s="36" t="str">
        <f t="shared" si="143"/>
        <v>Period</v>
      </c>
      <c r="Q37" s="36" t="str">
        <f>HLOOKUP(Q$1,google_form!$1:$183,$A37,FALSE)</f>
        <v>1982 - 2024</v>
      </c>
      <c r="R37" s="36" t="str">
        <f>HLOOKUP(R$1,google_form!$1:$183,$A37,FALSE)</f>
        <v>Three machine learning methods were used to simulate surface ocean CO2 trends and construct monthly CO2 maps. </v>
      </c>
      <c r="S37" s="36" t="str">
        <f>HLOOKUP(S$1,google_form!$1:$183,$A37,FALSE)</f>
        <v>Zeng et al. (2022)</v>
      </c>
      <c r="T37" s="40" t="str">
        <f>HLOOKUP(T$1,google_form!$1:$183,$A37,FALSE)</f>
        <v>https://doi.org/10.3389/fmars.2022.989233</v>
      </c>
      <c r="U37" s="40" t="str">
        <f>HLOOKUP(U$1,google_form!$1:$183,$A37,FALSE)</f>
        <v>https://www.nies.go.jp/doi/10.17595/20220311.001-e.html</v>
      </c>
      <c r="V37" s="36" t="str">
        <f t="shared" si="10"/>
        <v>Description</v>
      </c>
      <c r="W37" s="36" t="str">
        <f>HLOOKUP(W$1,google_form!$1:$183,$A37,FALSE)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7" s="36" t="str">
        <f t="shared" si="11"/>
        <v>Reference</v>
      </c>
      <c r="Y37" s="36" t="str">
        <f>HLOOKUP(Y$1,google_form!$1:$183,$A37,FALSE)</f>
        <v>Zeng, J., Iida, Y., Matsunaga, T., and Shirai, T. 2022. Surface ocean CO2 concentration and air-sea flux estimate by machine learning with modelled variable trends. Front. Mar. Sci. 9, 989233. https://doi.org/10.3389/fmars.2022.989233</v>
      </c>
    </row>
    <row r="38">
      <c r="A38" s="36">
        <v>37.0</v>
      </c>
      <c r="B38" s="36" t="str">
        <f>HLOOKUP(B$1,google_form!$1:$183,$A38,FALSE)</f>
        <v>Gridded surface</v>
      </c>
      <c r="C38" s="36" t="str">
        <f>HLOOKUP(C$1,google_form!$1:$183,$A38,FALSE)</f>
        <v>Monthly Interior Ocean DIC Climatology</v>
      </c>
      <c r="D38" s="36" t="str">
        <f>HLOOKUP(D$1,google_form!$1:$183,$A38,FALSE)</f>
        <v>Broullón et al., (2020)</v>
      </c>
      <c r="E38" s="40" t="str">
        <f>HLOOKUP(E$1,google_form!$1:$183,$A38,FALSE)</f>
        <v>https://essd.copernicus.org/articles/12/1725/2020/essd-12-1725-2020-f07-web.png</v>
      </c>
      <c r="F38" s="36" t="str">
        <f t="shared" ref="F38:G38" si="144">if(ISBLANK($C38), "", F$1)</f>
        <v>fa-solid fa-globe</v>
      </c>
      <c r="G38" s="36" t="str">
        <f t="shared" si="144"/>
        <v>Spatial domains</v>
      </c>
      <c r="H38" s="36" t="str">
        <f>HLOOKUP(H$1,google_form!$1:$183,$A38,FALSE)</f>
        <v>Open ocean, Water column</v>
      </c>
      <c r="I38" s="36" t="str">
        <f t="shared" ref="I38:J38" si="145">if(ISBLANK($C38), "", I$1)</f>
        <v>fa-solid fa-hourglass-start</v>
      </c>
      <c r="J38" s="36" t="str">
        <f t="shared" si="145"/>
        <v>Temporal resolution</v>
      </c>
      <c r="K38" s="36" t="str">
        <f>HLOOKUP(K$1,google_form!$1:$183,$A38,FALSE)</f>
        <v>monthly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1995</v>
      </c>
      <c r="R38" s="36" t="str">
        <f>HLOOKUP(R$1,google_form!$1:$183,$A38,FALSE)</f>
        <v>Ocean interior climatology for DIC from surface to bottom (referenced to year 1995)</v>
      </c>
      <c r="S38" s="36" t="str">
        <f>HLOOKUP(S$1,google_form!$1:$183,$A38,FALSE)</f>
        <v>Broullón et al., (2020)</v>
      </c>
      <c r="T38" s="40" t="str">
        <f>HLOOKUP(T$1,google_form!$1:$183,$A38,FALSE)</f>
        <v>https://doi.org/10.5194/essd-12-1725-2020</v>
      </c>
      <c r="U38" s="40" t="str">
        <f>HLOOKUP(U$1,google_form!$1:$183,$A38,FALSE)</f>
        <v>https://doi.org/10.25921/ndgj-jp24</v>
      </c>
      <c r="V38" s="36" t="str">
        <f t="shared" si="10"/>
        <v>Description</v>
      </c>
      <c r="W38" s="36" t="str">
        <f>HLOOKUP(W$1,google_form!$1:$183,$A38,FALSE)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8" s="36" t="str">
        <f t="shared" si="11"/>
        <v>Reference</v>
      </c>
      <c r="Y38" s="36" t="str">
        <f>HLOOKUP(Y$1,google_form!$1:$183,$A38,FALSE)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9">
      <c r="A39" s="36">
        <v>38.0</v>
      </c>
      <c r="B39" s="36" t="str">
        <f>HLOOKUP(B$1,google_form!$1:$183,$A39,FALSE)</f>
        <v>Gridded surface</v>
      </c>
      <c r="C39" s="36" t="str">
        <f>HLOOKUP(C$1,google_form!$1:$183,$A39,FALSE)</f>
        <v>Takahashi ΔfCO2 &amp; Flux Climatology</v>
      </c>
      <c r="D39" s="36" t="str">
        <f>HLOOKUP(D$1,google_form!$1:$183,$A39,FALSE)</f>
        <v>Fay et al. (2024)</v>
      </c>
      <c r="E39" s="40" t="str">
        <f>HLOOKUP(E$1,google_form!$1:$183,$A39,FALSE)</f>
        <v>https://essd.copernicus.org/articles/16/2123/2024/essd-16-2123-2024-avatar-web.png</v>
      </c>
      <c r="F39" s="36" t="str">
        <f t="shared" ref="F39:G39" si="148">if(ISBLANK($C39), "", F$1)</f>
        <v>fa-solid fa-globe</v>
      </c>
      <c r="G39" s="36" t="str">
        <f t="shared" si="148"/>
        <v>Spatial domains</v>
      </c>
      <c r="H39" s="36" t="str">
        <f>HLOOKUP(H$1,google_form!$1:$183,$A39,FALSE)</f>
        <v>Open ocean</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1° x 1°</v>
      </c>
      <c r="O39" s="36" t="str">
        <f t="shared" ref="O39:P39" si="151">if(ISBLANK($C39), "", O$1)</f>
        <v>fa-solid fa-calendar-days</v>
      </c>
      <c r="P39" s="36" t="str">
        <f t="shared" si="151"/>
        <v>Period</v>
      </c>
      <c r="Q39" s="36" t="str">
        <f>HLOOKUP(Q$1,google_form!$1:$183,$A39,FALSE)</f>
        <v>2010</v>
      </c>
      <c r="R39" s="36" t="str">
        <f>HLOOKUP(R$1,google_form!$1:$183,$A39,FALSE)</f>
        <v>Does not use proxy variables for extrapolation. Only produced as monthly climatology.</v>
      </c>
      <c r="S39" s="36" t="str">
        <f>HLOOKUP(S$1,google_form!$1:$183,$A39,FALSE)</f>
        <v>Fay et al. (2024)</v>
      </c>
      <c r="T39" s="40" t="str">
        <f>HLOOKUP(T$1,google_form!$1:$183,$A39,FALSE)</f>
        <v>https://doi.org/10.5194/essd-16-2123-2024</v>
      </c>
      <c r="U39" s="40" t="str">
        <f>HLOOKUP(U$1,google_form!$1:$183,$A39,FALSE)</f>
        <v>https://doi.org/10.25921/295g-sn13</v>
      </c>
      <c r="V39" s="36" t="str">
        <f t="shared" si="10"/>
        <v>Description</v>
      </c>
      <c r="W39" s="36" t="str">
        <f>HLOOKUP(W$1,google_form!$1:$183,$A39,FALSE)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9" s="36" t="str">
        <f t="shared" si="11"/>
        <v>Reference</v>
      </c>
      <c r="Y39" s="36" t="str">
        <f>HLOOKUP(Y$1,google_form!$1:$183,$A39,FALSE)</f>
        <v>Fay, A. R., Munro, D. R., McKinley, G. A., Pierrot, D., Sutherland, S. C., Sweeney, C., and Wanninkhof, R. 2024. Updated climatological mean ΔfCO2 and net sea–air CO2 flux over the global open ocean regions, Earth Syst. Sci. Data, 16, 2123–2139, https://doi.org/10.5194/essd-16-2123-2024.</v>
      </c>
    </row>
    <row r="40">
      <c r="A40" s="36">
        <v>39.0</v>
      </c>
      <c r="B40" s="36" t="str">
        <f>HLOOKUP(B$1,google_form!$1:$183,$A40,FALSE)</f>
        <v>Gridded surface</v>
      </c>
      <c r="C40" s="36" t="str">
        <f>HLOOKUP(C$1,google_form!$1:$183,$A40,FALSE)</f>
        <v>LDEO-HPD fCO2, with Extended Temporal Coverage</v>
      </c>
      <c r="D40" s="36" t="str">
        <f>HLOOKUP(D$1,google_form!$1:$183,$A40,FALSE)</f>
        <v>Gloege et al. (2022), Bennington et al. (2022)</v>
      </c>
      <c r="E40" s="40" t="str">
        <f>HLOOKUP(E$1,google_form!$1:$183,$A40,FALSE)</f>
        <v>https://agupubs.onlinelibrary.wiley.com/cms/asset/f0d6e78d-0937-4fb5-9079-da046365f27b/jame21511-fig-0001-m.jpg</v>
      </c>
      <c r="F40" s="36" t="str">
        <f t="shared" ref="F40:G40" si="152">if(ISBLANK($C40), "", F$1)</f>
        <v>fa-solid fa-globe</v>
      </c>
      <c r="G40" s="36" t="str">
        <f t="shared" si="152"/>
        <v>Spatial domains</v>
      </c>
      <c r="H40" s="36" t="str">
        <f>HLOOKUP(H$1,google_form!$1:$183,$A40,FALSE)</f>
        <v>Open ocean</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1° x 1°</v>
      </c>
      <c r="O40" s="36" t="str">
        <f t="shared" ref="O40:P40" si="155">if(ISBLANK($C40), "", O$1)</f>
        <v>fa-solid fa-calendar-days</v>
      </c>
      <c r="P40" s="36" t="str">
        <f t="shared" si="155"/>
        <v>Period</v>
      </c>
      <c r="Q40" s="36" t="str">
        <f>HLOOKUP(Q$1,google_form!$1:$183,$A40,FALSE)</f>
        <v>1959-2023</v>
      </c>
      <c r="R40" s="36" t="str">
        <f>HLOOKUP(R$1,google_form!$1:$183,$A40,FALSE)</f>
        <v>LDEO-HPD uses model-data misfit climatology to extend estimate back in time to 1959</v>
      </c>
      <c r="S40" s="36" t="str">
        <f>HLOOKUP(S$1,google_form!$1:$183,$A40,FALSE)</f>
        <v>Gloege et al. (2022), Bennington et al. (2022)</v>
      </c>
      <c r="T40" s="40" t="str">
        <f>HLOOKUP(T$1,google_form!$1:$183,$A40,FALSE)</f>
        <v>https://doi.org/10.1029/2022GL098632</v>
      </c>
      <c r="U40" s="40" t="str">
        <f>HLOOKUP(U$1,google_form!$1:$183,$A40,FALSE)</f>
        <v>https://zenodo.org/records/13891722</v>
      </c>
      <c r="V40" s="36" t="str">
        <f t="shared" si="10"/>
        <v>Description</v>
      </c>
      <c r="W40" s="36" t="str">
        <f>HLOOKUP(W$1,google_form!$1:$183,$A40,FALSE)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40" s="36" t="str">
        <f t="shared" si="11"/>
        <v>Reference</v>
      </c>
      <c r="Y40" s="36" t="str">
        <f>HLOOKUP(Y$1,google_form!$1:$183,$A40,FALSE)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41">
      <c r="A41" s="36">
        <v>40.0</v>
      </c>
      <c r="B41" s="36" t="str">
        <f>HLOOKUP(B$1,google_form!$1:$183,$A41,FALSE)</f>
        <v>Gridded surface</v>
      </c>
      <c r="C41" s="36" t="str">
        <f>HLOOKUP(C$1,google_form!$1:$183,$A41,FALSE)</f>
        <v>LDEO fCO2 - Residual Method</v>
      </c>
      <c r="D41" s="36" t="str">
        <f>HLOOKUP(D$1,google_form!$1:$183,$A41,FALSE)</f>
        <v>Bennington et al. (2022)</v>
      </c>
      <c r="E41" s="40" t="str">
        <f>HLOOKUP(E$1,google_form!$1:$183,$A41,FALSE)</f>
        <v>https://agupubs.onlinelibrary.wiley.com/cms/asset/c4abf6e9-b8d0-4d90-bb8c-4cc9ac68fe82/jame21703-fig-0001-m.jpg</v>
      </c>
      <c r="F41" s="36" t="str">
        <f t="shared" ref="F41:G41" si="156">if(ISBLANK($C41), "", F$1)</f>
        <v>fa-solid fa-globe</v>
      </c>
      <c r="G41" s="36" t="str">
        <f t="shared" si="156"/>
        <v>Spatial domains</v>
      </c>
      <c r="H41" s="36" t="str">
        <f>HLOOKUP(H$1,google_form!$1:$183,$A41,FALSE)</f>
        <v>Open ocean</v>
      </c>
      <c r="I41" s="36" t="str">
        <f t="shared" ref="I41:J41" si="157">if(ISBLANK($C41), "", I$1)</f>
        <v>fa-solid fa-hourglass-start</v>
      </c>
      <c r="J41" s="36" t="str">
        <f t="shared" si="157"/>
        <v>Temporal resolution</v>
      </c>
      <c r="K41" s="36" t="str">
        <f>HLOOKUP(K$1,google_form!$1:$183,$A41,FALSE)</f>
        <v>monthly</v>
      </c>
      <c r="L41" s="36" t="str">
        <f t="shared" ref="L41:M41" si="158">if(ISBLANK($C41), "", L$1)</f>
        <v>fa-solid fa-ruler-horizontal</v>
      </c>
      <c r="M41" s="36" t="str">
        <f t="shared" si="158"/>
        <v>Spatial resolution</v>
      </c>
      <c r="N41" s="41" t="str">
        <f>HLOOKUP(N$1,google_form!$1:$183,$A41,FALSE)</f>
        <v>1° x 1°</v>
      </c>
      <c r="O41" s="36" t="str">
        <f t="shared" ref="O41:P41" si="159">if(ISBLANK($C41), "", O$1)</f>
        <v>fa-solid fa-calendar-days</v>
      </c>
      <c r="P41" s="36" t="str">
        <f t="shared" si="159"/>
        <v>Period</v>
      </c>
      <c r="Q41" s="36" t="str">
        <f>HLOOKUP(Q$1,google_form!$1:$183,$A41,FALSE)</f>
        <v>1982-2023</v>
      </c>
      <c r="R41" s="36" t="str">
        <f>HLOOKUP(R$1,google_form!$1:$183,$A41,FALSE)</f>
        <v>Removes the temperature component before Machine Learning</v>
      </c>
      <c r="S41" s="36" t="str">
        <f>HLOOKUP(S$1,google_form!$1:$183,$A41,FALSE)</f>
        <v>Bennington et al. (2022)</v>
      </c>
      <c r="T41" s="40" t="str">
        <f>HLOOKUP(T$1,google_form!$1:$183,$A41,FALSE)</f>
        <v>https://doi.org/10.1029/2021MS002960</v>
      </c>
      <c r="U41" s="40" t="str">
        <f>HLOOKUP(U$1,google_form!$1:$183,$A41,FALSE)</f>
        <v>https://zenodo.org/records/13941548</v>
      </c>
      <c r="V41" s="36" t="str">
        <f t="shared" si="10"/>
        <v>Description</v>
      </c>
      <c r="W41" s="36" t="str">
        <f>HLOOKUP(W$1,google_form!$1:$183,$A41,FALSE)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41" s="36" t="str">
        <f t="shared" si="11"/>
        <v>Reference</v>
      </c>
      <c r="Y41" s="36" t="str">
        <f>HLOOKUP(Y$1,google_form!$1:$183,$A41,FALSE)</f>
        <v>Bennington, V., Galjanic, T., &amp; McKinley, G. A. (2022). Explicit physical knowledge in machine learning for ocean carbon flux reconstruction: The pCO2-Residual method. Journal of Advances in Modeling Earth Systems, 14, e2021MS002960. https://doi. org/10.1029/2021MS002960</v>
      </c>
    </row>
    <row r="42">
      <c r="A42" s="36">
        <v>41.0</v>
      </c>
      <c r="B42" s="36" t="str">
        <f>HLOOKUP(B$1,google_form!$1:$183,$A42,FALSE)</f>
        <v>Gridded surface</v>
      </c>
      <c r="C42" s="36" t="str">
        <f>HLOOKUP(C$1,google_form!$1:$183,$A42,FALSE)</f>
        <v>INCOIS-ReML</v>
      </c>
      <c r="D42" s="36" t="str">
        <f>HLOOKUP(D$1,google_form!$1:$183,$A42,FALSE)</f>
        <v>Joshi et al. (2024)</v>
      </c>
      <c r="E42" s="40" t="str">
        <f>HLOOKUP(E$1,google_form!$1:$183,$A42,FALSE)</f>
        <v>https://i.ibb.co/cShr87g7/pCO2-BoB.png</v>
      </c>
      <c r="F42" s="36" t="str">
        <f t="shared" ref="F42:G42" si="160">if(ISBLANK($C42), "", F$1)</f>
        <v>fa-solid fa-globe</v>
      </c>
      <c r="G42" s="36" t="str">
        <f t="shared" si="160"/>
        <v>Spatial domains</v>
      </c>
      <c r="H42" s="36" t="str">
        <f>HLOOKUP(H$1,google_form!$1:$183,$A42,FALSE)</f>
        <v>Regional</v>
      </c>
      <c r="I42" s="36" t="str">
        <f t="shared" ref="I42:J42" si="161">if(ISBLANK($C42), "", I$1)</f>
        <v>fa-solid fa-hourglass-start</v>
      </c>
      <c r="J42" s="36" t="str">
        <f t="shared" si="161"/>
        <v>Temporal resolution</v>
      </c>
      <c r="K42" s="36" t="str">
        <f>HLOOKUP(K$1,google_form!$1:$183,$A42,FALSE)</f>
        <v>monthly</v>
      </c>
      <c r="L42" s="36" t="str">
        <f t="shared" ref="L42:M42" si="162">if(ISBLANK($C42), "", L$1)</f>
        <v>fa-solid fa-ruler-horizontal</v>
      </c>
      <c r="M42" s="36" t="str">
        <f t="shared" si="162"/>
        <v>Spatial resolution</v>
      </c>
      <c r="N42" s="41" t="str">
        <f>HLOOKUP(N$1,google_form!$1:$183,$A42,FALSE)</f>
        <v>0.083° x 0.083°</v>
      </c>
      <c r="O42" s="36" t="str">
        <f t="shared" ref="O42:P42" si="163">if(ISBLANK($C42), "", O$1)</f>
        <v>fa-solid fa-calendar-days</v>
      </c>
      <c r="P42" s="36" t="str">
        <f t="shared" si="163"/>
        <v>Period</v>
      </c>
      <c r="Q42" s="36" t="str">
        <f>HLOOKUP(Q$1,google_form!$1:$183,$A42,FALSE)</f>
        <v>2015</v>
      </c>
      <c r="R42" s="36" t="str">
        <f>HLOOKUP(R$1,google_form!$1:$183,$A42,FALSE)</f>
        <v>This data product integrates publicly available open-ocean observations with data from the Indian EEZ region in the Bay of Bengal to provide surface pCO2 and air-sea CO2 flux estimates.</v>
      </c>
      <c r="S42" s="36" t="str">
        <f>HLOOKUP(S$1,google_form!$1:$183,$A42,FALSE)</f>
        <v>Joshi et al. (2024)</v>
      </c>
      <c r="T42" s="40" t="str">
        <f>HLOOKUP(T$1,google_form!$1:$183,$A42,FALSE)</f>
        <v>https://doi.org/10.1038/s41597-024-03236-w</v>
      </c>
      <c r="U42" s="40" t="str">
        <f>HLOOKUP(U$1,google_form!$1:$183,$A42,FALSE)</f>
        <v>https://www.ncei.noaa.gov/data/oceans/ncei/ocads/metadata/0307627.html</v>
      </c>
      <c r="V42" s="36" t="str">
        <f t="shared" si="10"/>
        <v>Description</v>
      </c>
      <c r="W42" s="36" t="str">
        <f>HLOOKUP(W$1,google_form!$1:$183,$A42,FALSE)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2" s="36" t="str">
        <f t="shared" si="11"/>
        <v>Reference</v>
      </c>
      <c r="Y42" s="36" t="str">
        <f>HLOOKUP(Y$1,google_form!$1:$183,$A42,FALSE)</f>
        <v>Joshi, A., Ghoshal, P.K., Chakraborty, K. et al. Sea-surface pCO2 maps for the Bay of Bengal based on advanced machine learning algorithms. Sci Data 11, 384 (2024). https://doi.org/10.1038/s41597-024-03236-w</v>
      </c>
    </row>
    <row r="43">
      <c r="A43" s="36">
        <v>42.0</v>
      </c>
      <c r="B43" s="36" t="str">
        <f>HLOOKUP(B$1,google_form!$1:$183,$A43,FALSE)</f>
        <v>Gridded surface</v>
      </c>
      <c r="C43" s="36" t="str">
        <f>HLOOKUP(C$1,google_form!$1:$183,$A43,FALSE)</f>
        <v>INCOIS_TA</v>
      </c>
      <c r="D43" s="36" t="str">
        <f>HLOOKUP(D$1,google_form!$1:$183,$A43,FALSE)</f>
        <v>Joshi et al. (2025)</v>
      </c>
      <c r="E43" s="40" t="str">
        <f>HLOOKUP(E$1,google_form!$1:$183,$A43,FALSE)</f>
        <v>https://i.ibb.co/BYn8GyH/Climatology-TA.png</v>
      </c>
      <c r="F43" s="36" t="str">
        <f t="shared" ref="F43:G43" si="164">if(ISBLANK($C43), "", F$1)</f>
        <v>fa-solid fa-globe</v>
      </c>
      <c r="G43" s="36" t="str">
        <f t="shared" si="164"/>
        <v>Spatial domains</v>
      </c>
      <c r="H43" s="36" t="str">
        <f>HLOOKUP(H$1,google_form!$1:$183,$A43,FALSE)</f>
        <v>Regional</v>
      </c>
      <c r="I43" s="36" t="str">
        <f t="shared" ref="I43:J43" si="165">if(ISBLANK($C43), "", I$1)</f>
        <v>fa-solid fa-hourglass-start</v>
      </c>
      <c r="J43" s="36" t="str">
        <f t="shared" si="165"/>
        <v>Temporal resolution</v>
      </c>
      <c r="K43" s="36" t="str">
        <f>HLOOKUP(K$1,google_form!$1:$183,$A43,FALSE)</f>
        <v>monthly</v>
      </c>
      <c r="L43" s="36" t="str">
        <f t="shared" ref="L43:M43" si="166">if(ISBLANK($C43), "", L$1)</f>
        <v>fa-solid fa-ruler-horizontal</v>
      </c>
      <c r="M43" s="36" t="str">
        <f t="shared" si="166"/>
        <v>Spatial resolution</v>
      </c>
      <c r="N43" s="41" t="str">
        <f>HLOOKUP(N$1,google_form!$1:$183,$A43,FALSE)</f>
        <v>0.083° x 0.083°</v>
      </c>
      <c r="O43" s="36" t="str">
        <f t="shared" ref="O43:P43" si="167">if(ISBLANK($C43), "", O$1)</f>
        <v>fa-solid fa-calendar-days</v>
      </c>
      <c r="P43" s="36" t="str">
        <f t="shared" si="167"/>
        <v>Period</v>
      </c>
      <c r="Q43" s="36" t="str">
        <f>HLOOKUP(Q$1,google_form!$1:$183,$A43,FALSE)</f>
        <v>1993-2020</v>
      </c>
      <c r="R43" s="36" t="str">
        <f>HLOOKUP(R$1,google_form!$1:$183,$A43,FALSE)</f>
        <v>This data product integrates publicly available open-ocean observations with data collected during Indian scientific expeditions and from the Indian Exclusive Economic Zone to provide surface TA estimates for the North Indian Ocean.</v>
      </c>
      <c r="S43" s="36" t="str">
        <f>HLOOKUP(S$1,google_form!$1:$183,$A43,FALSE)</f>
        <v>Joshi et al. (2025)</v>
      </c>
      <c r="T43" s="40" t="str">
        <f>HLOOKUP(T$1,google_form!$1:$183,$A43,FALSE)</f>
        <v>https://doi.org/10.1029/2024GB008344</v>
      </c>
      <c r="U43" s="40" t="str">
        <f>HLOOKUP(U$1,google_form!$1:$183,$A43,FALSE)</f>
        <v>https://www.ncei.noaa.gov/data/oceans/ncei/ocads/metadata/0307789.html</v>
      </c>
      <c r="V43" s="36" t="str">
        <f t="shared" si="10"/>
        <v>Description</v>
      </c>
      <c r="W43" s="36" t="str">
        <f>HLOOKUP(W$1,google_form!$1:$183,$A43,FALSE)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3" s="36" t="str">
        <f t="shared" si="11"/>
        <v>Reference</v>
      </c>
      <c r="Y43" s="36" t="str">
        <f>HLOOKUP(Y$1,google_form!$1:$183,$A43,FALSE)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4">
      <c r="A44" s="36">
        <v>43.0</v>
      </c>
      <c r="B44" s="36" t="str">
        <f>HLOOKUP(B$1,google_form!$1:$183,$A44,FALSE)</f>
        <v>Gridded surface</v>
      </c>
      <c r="C44" s="36" t="str">
        <f>HLOOKUP(C$1,google_form!$1:$183,$A44,FALSE)</f>
        <v>INCOIS‐BIO‐ROMS Surface pCO2 and pH</v>
      </c>
      <c r="D44" s="36" t="str">
        <f>HLOOKUP(D$1,google_form!$1:$183,$A44,FALSE)</f>
        <v>Chakraborty et al. (2024)</v>
      </c>
      <c r="E44" s="40" t="str">
        <f>HLOOKUP(E$1,google_form!$1:$183,$A44,FALSE)</f>
        <v>https://i.ibb.co/wFc3f1bY/p-H-DECADAL.png</v>
      </c>
      <c r="F44" s="36" t="str">
        <f t="shared" ref="F44:G44" si="168">if(ISBLANK($C44), "", F$1)</f>
        <v>fa-solid fa-globe</v>
      </c>
      <c r="G44" s="36" t="str">
        <f t="shared" si="168"/>
        <v>Spatial domains</v>
      </c>
      <c r="H44" s="36" t="str">
        <f>HLOOKUP(H$1,google_form!$1:$183,$A44,FALSE)</f>
        <v>Regional</v>
      </c>
      <c r="I44" s="36" t="str">
        <f t="shared" ref="I44:J44" si="169">if(ISBLANK($C44), "", I$1)</f>
        <v>fa-solid fa-hourglass-start</v>
      </c>
      <c r="J44" s="36" t="str">
        <f t="shared" si="169"/>
        <v>Temporal resolution</v>
      </c>
      <c r="K44" s="36" t="str">
        <f>HLOOKUP(K$1,google_form!$1:$183,$A44,FALSE)</f>
        <v>monthly</v>
      </c>
      <c r="L44" s="36" t="str">
        <f t="shared" ref="L44:M44" si="170">if(ISBLANK($C44), "", L$1)</f>
        <v>fa-solid fa-ruler-horizontal</v>
      </c>
      <c r="M44" s="36" t="str">
        <f t="shared" si="170"/>
        <v>Spatial resolution</v>
      </c>
      <c r="N44" s="41" t="str">
        <f>HLOOKUP(N$1,google_form!$1:$183,$A44,FALSE)</f>
        <v>0.083° x 0.083°</v>
      </c>
      <c r="O44" s="36" t="str">
        <f t="shared" ref="O44:P44" si="171">if(ISBLANK($C44), "", O$1)</f>
        <v>fa-solid fa-calendar-days</v>
      </c>
      <c r="P44" s="36" t="str">
        <f t="shared" si="171"/>
        <v>Period</v>
      </c>
      <c r="Q44" s="36" t="str">
        <f>HLOOKUP(Q$1,google_form!$1:$183,$A44,FALSE)</f>
        <v>1980-2019</v>
      </c>
      <c r="R44" s="36" t="str">
        <f>HLOOKUP(R$1,google_form!$1:$183,$A44,FALSE)</f>
        <v>INCOIS-BIO-ROMS, developed following the RECCAP-2 Ocean Modeling Protocol, integrates model simulations with field and reconstructed data to enhance understanding of Ocean Acidification in the Indian Ocean.</v>
      </c>
      <c r="S44" s="36" t="str">
        <f>HLOOKUP(S$1,google_form!$1:$183,$A44,FALSE)</f>
        <v>Chakraborty et al. (2024)</v>
      </c>
      <c r="T44" s="40" t="str">
        <f>HLOOKUP(T$1,google_form!$1:$183,$A44,FALSE)</f>
        <v>https://doi.org/10.1029/2024GB008139</v>
      </c>
      <c r="U44" s="40" t="str">
        <f>HLOOKUP(U$1,google_form!$1:$183,$A44,FALSE)</f>
        <v>https://www.ncei.noaa.gov/data/oceans/ncei/ocads/metadata/0307663.html</v>
      </c>
      <c r="V44" s="36" t="str">
        <f t="shared" si="10"/>
        <v>Description</v>
      </c>
      <c r="W44" s="36" t="str">
        <f>HLOOKUP(W$1,google_form!$1:$183,$A44,FALSE)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4" s="36" t="str">
        <f t="shared" si="11"/>
        <v>Reference</v>
      </c>
      <c r="Y44" s="36" t="str">
        <f>HLOOKUP(Y$1,google_form!$1:$183,$A44,FALSE)</f>
        <v> Chakraborty, K., Joshi, A. P., Ghoshal, P. K., Baduru, B., Valsala, V., Sarma, V. V. S. S., et al. (2024). Indian Ocean acidification and its driving mechanisms over the last four decades (1980–2019). Global Biogeochemical Cycles, 38, e2024GB008139. https://doi.org/10.1029/2024GB008139</v>
      </c>
    </row>
    <row r="45">
      <c r="A45" s="36">
        <v>44.0</v>
      </c>
      <c r="B45" s="36" t="str">
        <f>HLOOKUP(B$1,google_form!$1:$183,$A45,FALSE)</f>
        <v>Gridded surface</v>
      </c>
      <c r="C45" s="36" t="str">
        <f>HLOOKUP(C$1,google_form!$1:$183,$A45,FALSE)</f>
        <v>pCIBR_Clim and pCIBR_Int</v>
      </c>
      <c r="D45" s="36" t="str">
        <f>HLOOKUP(D$1,google_form!$1:$183,$A45,FALSE)</f>
        <v>Ghoshal et al. (2025)</v>
      </c>
      <c r="E45" s="40" t="str">
        <f>HLOOKUP(E$1,google_form!$1:$183,$A45,FALSE)</f>
        <v>https://i.ibb.co/8DtF8Zz4/p-CIBR-p-CO2-DECADAL.png</v>
      </c>
      <c r="F45" s="36" t="str">
        <f t="shared" ref="F45:G45" si="172">if(ISBLANK($C45), "", F$1)</f>
        <v>fa-solid fa-globe</v>
      </c>
      <c r="G45" s="36" t="str">
        <f t="shared" si="172"/>
        <v>Spatial domains</v>
      </c>
      <c r="H45" s="36" t="str">
        <f>HLOOKUP(H$1,google_form!$1:$183,$A45,FALSE)</f>
        <v>Regional</v>
      </c>
      <c r="I45" s="36" t="str">
        <f t="shared" ref="I45:J45" si="173">if(ISBLANK($C45), "", I$1)</f>
        <v>fa-solid fa-hourglass-start</v>
      </c>
      <c r="J45" s="36" t="str">
        <f t="shared" si="173"/>
        <v>Temporal resolution</v>
      </c>
      <c r="K45" s="36" t="str">
        <f>HLOOKUP(K$1,google_form!$1:$183,$A45,FALSE)</f>
        <v>monthly</v>
      </c>
      <c r="L45" s="36" t="str">
        <f t="shared" ref="L45:M45" si="174">if(ISBLANK($C45), "", L$1)</f>
        <v>fa-solid fa-ruler-horizontal</v>
      </c>
      <c r="M45" s="36" t="str">
        <f t="shared" si="174"/>
        <v>Spatial resolution</v>
      </c>
      <c r="N45" s="41" t="str">
        <f>HLOOKUP(N$1,google_form!$1:$183,$A45,FALSE)</f>
        <v>0.083° x 0.083°</v>
      </c>
      <c r="O45" s="36" t="str">
        <f t="shared" ref="O45:P45" si="175">if(ISBLANK($C45), "", O$1)</f>
        <v>fa-solid fa-calendar-days</v>
      </c>
      <c r="P45" s="36" t="str">
        <f t="shared" si="175"/>
        <v>Period</v>
      </c>
      <c r="Q45" s="36" t="str">
        <f>HLOOKUP(Q$1,google_form!$1:$183,$A45,FALSE)</f>
        <v>1980-2019</v>
      </c>
      <c r="R45" s="36" t="str">
        <f>HLOOKUP(R$1,google_form!$1:$183,$A45,FALSE)</f>
        <v>This product uses a hybrid approach, applying machine learning to correct 1/12° ocean–ecosystem model outputs with SOCAT (1984–2019) and SAS (1991–2019) observations for the Indian Ocean.</v>
      </c>
      <c r="S45" s="36" t="str">
        <f>HLOOKUP(S$1,google_form!$1:$183,$A45,FALSE)</f>
        <v>Ghoshal et al. (2025)</v>
      </c>
      <c r="T45" s="40" t="str">
        <f>HLOOKUP(T$1,google_form!$1:$183,$A45,FALSE)</f>
        <v>https://doi.org/10.1038/s41597-025-04914-z</v>
      </c>
      <c r="U45" s="40" t="str">
        <f>HLOOKUP(U$1,google_form!$1:$183,$A45,FALSE)</f>
        <v>https://www.ncei.noaa.gov/data/oceans/ncei/ocads/metadata/0307788.html</v>
      </c>
      <c r="V45" s="36" t="str">
        <f t="shared" si="10"/>
        <v>Description</v>
      </c>
      <c r="W45" s="36" t="str">
        <f>HLOOKUP(W$1,google_form!$1:$183,$A45,FALSE)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5" s="36" t="str">
        <f t="shared" si="11"/>
        <v>Reference</v>
      </c>
      <c r="Y45" s="36" t="str">
        <f>HLOOKUP(Y$1,google_form!$1:$183,$A45,FALSE)</f>
        <v>Ghoshal, P.K., Joshi, A. &amp; Chakraborty, K. An improved long-term high-resolution surface pCO2 data product for the Indian Ocean using machine learning. Sci Data 12, 577 (2025). https://doi.org/10.1038/s41597-025-04914-z</v>
      </c>
    </row>
    <row r="46">
      <c r="A46" s="36">
        <v>45.0</v>
      </c>
      <c r="B46" s="36" t="str">
        <f>HLOOKUP(B$1,google_form!$1:$183,$A46,FALSE)</f>
        <v>Gridded subsurface</v>
      </c>
      <c r="C46" s="36" t="str">
        <f>HLOOKUP(C$1,google_form!$1:$183,$A46,FALSE)</f>
        <v>GLODAPv2 Climatology</v>
      </c>
      <c r="D46" s="36" t="str">
        <f>HLOOKUP(D$1,google_form!$1:$183,$A46,FALSE)</f>
        <v>Lauvset et al. (2016)</v>
      </c>
      <c r="E46" s="40" t="str">
        <f>HLOOKUP(E$1,google_form!$1:$183,$A46,FALSE)</f>
        <v>https://i.ibb.co/dwFT2QJx/GLODAPv2-Climatology.png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climatology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36" t="str">
        <f>HLOOKUP(Q$1,google_form!$1:$183,$A46,FALSE)</f>
        <v>2002</v>
      </c>
      <c r="R46" s="36" t="str">
        <f>HLOOKUP(R$1,google_form!$1:$183,$A46,FALSE)</f>
        <v>Ocean interior climatology for multiple variables from surface to the bottom of the ocean (referenced to year 2002)</v>
      </c>
      <c r="S46" s="36" t="str">
        <f>HLOOKUP(S$1,google_form!$1:$183,$A46,FALSE)</f>
        <v>Lauvset et al. (2016)</v>
      </c>
      <c r="T46" s="40" t="str">
        <f>HLOOKUP(T$1,google_form!$1:$183,$A46,FALSE)</f>
        <v>https://doi.org/10.5194/essd-8-325-2016</v>
      </c>
      <c r="U46" s="40" t="str">
        <f>HLOOKUP(U$1,google_form!$1:$183,$A46,FALSE)</f>
        <v>https://www.ncei.noaa.gov/data/oceans/ncei/ocads/metadata/0286118.html </v>
      </c>
      <c r="V46" s="36" t="str">
        <f t="shared" si="10"/>
        <v>Description</v>
      </c>
      <c r="W46" s="36" t="str">
        <f>HLOOKUP(W$1,google_form!$1:$183,$A46,FALSE)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6" s="36" t="str">
        <f t="shared" si="11"/>
        <v>Reference</v>
      </c>
      <c r="Y46" s="36" t="str">
        <f>HLOOKUP(Y$1,google_form!$1:$183,$A46,FALSE)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7">
      <c r="A47" s="36">
        <v>46.0</v>
      </c>
      <c r="B47" s="36" t="str">
        <f>HLOOKUP(B$1,google_form!$1:$183,$A47,FALSE)</f>
        <v>Gridded subsurface</v>
      </c>
      <c r="C47" s="36" t="str">
        <f>HLOOKUP(C$1,google_form!$1:$183,$A47,FALSE)</f>
        <v>Acidification Metrics in the Ocean Interior</v>
      </c>
      <c r="D47" s="36" t="str">
        <f>HLOOKUP(D$1,google_form!$1:$183,$A47,FALSE)</f>
        <v>Fassbender et al. (2023) </v>
      </c>
      <c r="E47" s="40" t="str">
        <f>HLOOKUP(E$1,google_form!$1:$183,$A47,FALSE)</f>
        <v>https://www.ncei.noaa.gov/data/oceans/archive/arc0227/0290073/1.1/about/0290073_preview.jpg</v>
      </c>
      <c r="F47" s="36" t="str">
        <f t="shared" ref="F47:G47" si="180">if(ISBLANK($C47), "", F$1)</f>
        <v>fa-solid fa-globe</v>
      </c>
      <c r="G47" s="36" t="str">
        <f t="shared" si="180"/>
        <v>Spatial domains</v>
      </c>
      <c r="H47" s="36" t="str">
        <f>HLOOKUP(H$1,google_form!$1:$183,$A47,FALSE)</f>
        <v>Open ocean, Water column</v>
      </c>
      <c r="I47" s="36" t="str">
        <f t="shared" ref="I47:J47" si="181">if(ISBLANK($C47), "", I$1)</f>
        <v>fa-solid fa-hourglass-start</v>
      </c>
      <c r="J47" s="36" t="str">
        <f t="shared" si="181"/>
        <v>Temporal resolution</v>
      </c>
      <c r="K47" s="36" t="str">
        <f>HLOOKUP(K$1,google_form!$1:$183,$A47,FALSE)</f>
        <v>climatology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36" t="str">
        <f>HLOOKUP(Q$1,google_form!$1:$183,$A47,FALSE)</f>
        <v>1850 - 2002</v>
      </c>
      <c r="R47" s="36" t="str">
        <f>HLOOKUP(R$1,google_form!$1:$183,$A47,FALSE)</f>
        <v>Metrics of acidification in the ocean interior (to 2000 m) and the component of those changes caused by carbonate system nonlinearities</v>
      </c>
      <c r="S47" s="36" t="str">
        <f>HLOOKUP(S$1,google_form!$1:$183,$A47,FALSE)</f>
        <v>Fassbender et al. (2023) </v>
      </c>
      <c r="T47" s="40" t="str">
        <f>HLOOKUP(T$1,google_form!$1:$183,$A47,FALSE)</f>
        <v>https://doi.org/10.1029/2023GB007843</v>
      </c>
      <c r="U47" s="40" t="str">
        <f>HLOOKUP(U$1,google_form!$1:$183,$A47,FALSE)</f>
        <v>https://www.ncei.noaa.gov/data/oceans/ncei/ocads/metadata/0290073.html</v>
      </c>
      <c r="V47" s="36" t="str">
        <f t="shared" si="10"/>
        <v>Description</v>
      </c>
      <c r="W47" s="36" t="str">
        <f>HLOOKUP(W$1,google_form!$1:$183,$A47,FALSE)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7" s="36" t="str">
        <f t="shared" si="11"/>
        <v>Reference</v>
      </c>
      <c r="Y47" s="36" t="str">
        <f>HLOOKUP(Y$1,google_form!$1:$183,$A47,FALSE)</f>
        <v>Fassbender, A. J., Carter, B. R., Sharp, J. D., Huang, Y., Arroyo, M. C., and Frenzel, H.: Amplified subsurface signals of ocean acidification, Global Biogeochemical Cycles, 37, e2023GB007843, https://doi.org/10.1029/2023GB007843, 2023. </v>
      </c>
    </row>
    <row r="48">
      <c r="A48" s="36">
        <v>47.0</v>
      </c>
      <c r="B48" s="36" t="str">
        <f>HLOOKUP(B$1,google_form!$1:$183,$A48,FALSE)</f>
        <v>Gridded subsurface</v>
      </c>
      <c r="C48" s="36" t="str">
        <f>HLOOKUP(C$1,google_form!$1:$183,$A48,FALSE)</f>
        <v>Anthropogenic CO2 from 1994 to 2007</v>
      </c>
      <c r="D48" s="36" t="str">
        <f>HLOOKUP(D$1,google_form!$1:$183,$A48,FALSE)</f>
        <v>Gruber et al. (2019) </v>
      </c>
      <c r="E48" s="40" t="str">
        <f>HLOOKUP(E$1,google_form!$1:$183,$A48,FALSE)</f>
        <v>https://www.ncei.noaa.gov/data/oceans/archive/arc0132/0186034/1.1/about/0186034_preview.jpg</v>
      </c>
      <c r="F48" s="36" t="str">
        <f t="shared" ref="F48:G48" si="184">if(ISBLANK($C48), "", F$1)</f>
        <v>fa-solid fa-globe</v>
      </c>
      <c r="G48" s="36" t="str">
        <f t="shared" si="184"/>
        <v>Spatial domains</v>
      </c>
      <c r="H48" s="36" t="str">
        <f>HLOOKUP(H$1,google_form!$1:$183,$A48,FALSE)</f>
        <v>Open ocean, Water column</v>
      </c>
      <c r="I48" s="36" t="str">
        <f t="shared" ref="I48:J48" si="185">if(ISBLANK($C48), "", I$1)</f>
        <v>fa-solid fa-hourglass-start</v>
      </c>
      <c r="J48" s="36" t="str">
        <f t="shared" si="185"/>
        <v>Temporal resolution</v>
      </c>
      <c r="K48" s="36" t="str">
        <f>HLOOKUP(K$1,google_form!$1:$183,$A48,FALSE)</f>
        <v>climatology</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1994 - 2007</v>
      </c>
      <c r="R48" s="36" t="str">
        <f>HLOOKUP(R$1,google_form!$1:$183,$A48,FALSE)</f>
        <v>The oceanic sink for anthropogenic CO2 over the period 1994 to 2007</v>
      </c>
      <c r="S48" s="36" t="str">
        <f>HLOOKUP(S$1,google_form!$1:$183,$A48,FALSE)</f>
        <v>Gruber et al. (2019) </v>
      </c>
      <c r="T48" s="40" t="str">
        <f>HLOOKUP(T$1,google_form!$1:$183,$A48,FALSE)</f>
        <v>https://doi.org/10.1126/science.aau5153</v>
      </c>
      <c r="U48" s="40" t="str">
        <f>HLOOKUP(U$1,google_form!$1:$183,$A48,FALSE)</f>
        <v>https://www.ncei.noaa.gov/data/oceans/ncei/ocads/metadata/0186034.html</v>
      </c>
      <c r="V48" s="36" t="str">
        <f t="shared" si="10"/>
        <v>Description</v>
      </c>
      <c r="W48" s="36" t="str">
        <f>HLOOKUP(W$1,google_form!$1:$183,$A48,FALSE)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8" s="36" t="str">
        <f t="shared" si="11"/>
        <v>Reference</v>
      </c>
      <c r="Y48" s="36" t="str">
        <f>HLOOKUP(Y$1,google_form!$1:$183,$A48,FALSE)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9">
      <c r="A49" s="36">
        <v>48.0</v>
      </c>
      <c r="B49" s="36" t="str">
        <f>HLOOKUP(B$1,google_form!$1:$183,$A49,FALSE)</f>
        <v>Gridded subsurface</v>
      </c>
      <c r="C49" s="36" t="str">
        <f>HLOOKUP(C$1,google_form!$1:$183,$A49,FALSE)</f>
        <v>Aragonite Climatology</v>
      </c>
      <c r="D49" s="36" t="str">
        <f>HLOOKUP(D$1,google_form!$1:$183,$A49,FALSE)</f>
        <v>Jiang et al. (2015) </v>
      </c>
      <c r="E49" s="40" t="str">
        <f>HLOOKUP(E$1,google_form!$1:$183,$A49,FALSE)</f>
        <v>https://agupubs.onlinelibrary.wiley.com/cms/asset/1787fd59-795c-4979-9565-6e7270b0fdbf/gbc20348-fig-0002-m.jpg</v>
      </c>
      <c r="F49" s="36" t="str">
        <f t="shared" ref="F49:G49" si="188">if(ISBLANK($C49), "", F$1)</f>
        <v>fa-solid fa-globe</v>
      </c>
      <c r="G49" s="36" t="str">
        <f t="shared" si="188"/>
        <v>Spatial domains</v>
      </c>
      <c r="H49" s="36" t="str">
        <f>HLOOKUP(H$1,google_form!$1:$183,$A49,FALSE)</f>
        <v>Open ocean, Water column</v>
      </c>
      <c r="I49" s="36" t="str">
        <f t="shared" ref="I49:J49" si="189">if(ISBLANK($C49), "", I$1)</f>
        <v>fa-solid fa-hourglass-start</v>
      </c>
      <c r="J49" s="36" t="str">
        <f t="shared" si="189"/>
        <v>Temporal resolution</v>
      </c>
      <c r="K49" s="36" t="str">
        <f>HLOOKUP(K$1,google_form!$1:$183,$A49,FALSE)</f>
        <v>climatology</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42" t="str">
        <f>HLOOKUP(Q$1,google_form!$1:$183,$A49,FALSE)</f>
        <v>2000</v>
      </c>
      <c r="R49" s="36" t="str">
        <f>HLOOKUP(R$1,google_form!$1:$183,$A49,FALSE)</f>
        <v>Ocean interior climatology for (Ωarag) from surface to 4000 m (referenced to year 2000)</v>
      </c>
      <c r="S49" s="36" t="str">
        <f>HLOOKUP(S$1,google_form!$1:$183,$A49,FALSE)</f>
        <v>Jiang et al. (2015) </v>
      </c>
      <c r="T49" s="40" t="str">
        <f>HLOOKUP(T$1,google_form!$1:$183,$A49,FALSE)</f>
        <v>https://doi.org/10.1002/2015GB005198</v>
      </c>
      <c r="U49" s="40" t="str">
        <f>HLOOKUP(U$1,google_form!$1:$183,$A49,FALSE)</f>
        <v>https://www.ncei.noaa.gov/data/oceans/ncei/ocads/metadata/0139360.html</v>
      </c>
      <c r="V49" s="36" t="str">
        <f t="shared" si="10"/>
        <v>Description</v>
      </c>
      <c r="W49" s="36" t="str">
        <f>HLOOKUP(W$1,google_form!$1:$183,$A49,FALSE)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9" s="36" t="str">
        <f t="shared" si="11"/>
        <v>Reference</v>
      </c>
      <c r="Y49" s="36" t="str">
        <f>HLOOKUP(Y$1,google_form!$1:$183,$A49,FALSE)</f>
        <v>Jiang, L.-Q., Feely, R. A., Carter, B. R., Greeley, D. J., Gledhill, D. K., and Arzayus, K. M.: Climatological distribution of aragonite saturation state in the global oceans,  Global Biogeochemical Cycles, 29(10), 1656–1673, https://doi.org/10.1002/2015GB005198, 2015. </v>
      </c>
    </row>
    <row r="50">
      <c r="A50" s="36">
        <v>49.0</v>
      </c>
      <c r="B50" s="36" t="str">
        <f>HLOOKUP(B$1,google_form!$1:$183,$A50,FALSE)</f>
        <v>Gridded subsurface</v>
      </c>
      <c r="C50" s="36" t="str">
        <f>HLOOKUP(C$1,google_form!$1:$183,$A50,FALSE)</f>
        <v>CODAP-NA Climatology</v>
      </c>
      <c r="D50" s="36" t="str">
        <f>HLOOKUP(D$1,google_form!$1:$183,$A50,FALSE)</f>
        <v>Jiang et al. (2024)</v>
      </c>
      <c r="E50" s="40" t="str">
        <f>HLOOKUP(E$1,google_form!$1:$183,$A50,FALSE)</f>
        <v>https://essd.copernicus.org/articles/16/3383/2024/essd-16-3383-2024-avatar-web.png</v>
      </c>
      <c r="F50" s="36" t="str">
        <f t="shared" ref="F50:G50" si="192">if(ISBLANK($C50), "", F$1)</f>
        <v>fa-solid fa-globe</v>
      </c>
      <c r="G50" s="36" t="str">
        <f t="shared" si="192"/>
        <v>Spatial domains</v>
      </c>
      <c r="H50" s="36" t="str">
        <f>HLOOKUP(H$1,google_form!$1:$183,$A50,FALSE)</f>
        <v>Coastal ocean, Water column</v>
      </c>
      <c r="I50" s="36" t="str">
        <f t="shared" ref="I50:J50" si="193">if(ISBLANK($C50), "", I$1)</f>
        <v>fa-solid fa-hourglass-start</v>
      </c>
      <c r="J50" s="36" t="str">
        <f t="shared" si="193"/>
        <v>Temporal resolution</v>
      </c>
      <c r="K50" s="36" t="str">
        <f>HLOOKUP(K$1,google_form!$1:$183,$A50,FALSE)</f>
        <v>climatology</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2010</v>
      </c>
      <c r="R50" s="36" t="str">
        <f>HLOOKUP(R$1,google_form!$1:$183,$A50,FALSE)</f>
        <v>The first discrete bottle based climatology in the North American ocean margins</v>
      </c>
      <c r="S50" s="36" t="str">
        <f>HLOOKUP(S$1,google_form!$1:$183,$A50,FALSE)</f>
        <v>Jiang et al. (2024)</v>
      </c>
      <c r="T50" s="40" t="str">
        <f>HLOOKUP(T$1,google_form!$1:$183,$A50,FALSE)</f>
        <v>https://doi.org/10.5194/essd-16-3383-2024</v>
      </c>
      <c r="U50" s="40" t="str">
        <f>HLOOKUP(U$1,google_form!$1:$183,$A50,FALSE)</f>
        <v>https://www.ncei.noaa.gov/data/oceans/ncei/ocads/metadata/0270962.html</v>
      </c>
      <c r="V50" s="36" t="str">
        <f t="shared" si="10"/>
        <v>Description</v>
      </c>
      <c r="W50" s="36" t="str">
        <f>HLOOKUP(W$1,google_form!$1:$183,$A50,FALSE)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0" s="36" t="str">
        <f t="shared" si="11"/>
        <v>Reference</v>
      </c>
      <c r="Y50" s="36" t="str">
        <f>HLOOKUP(Y$1,google_form!$1:$183,$A50,FALSE)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1">
      <c r="A51" s="36">
        <v>50.0</v>
      </c>
      <c r="B51" s="36" t="str">
        <f>HLOOKUP(B$1,google_form!$1:$183,$A51,FALSE)</f>
        <v>Gridded subsurface</v>
      </c>
      <c r="C51" s="36" t="str">
        <f>HLOOKUP(C$1,google_form!$1:$183,$A51,FALSE)</f>
        <v>MOBO-DIC (Version 2020)</v>
      </c>
      <c r="D51" s="36" t="str">
        <f>HLOOKUP(D$1,google_form!$1:$183,$A51,FALSE)</f>
        <v>Keppler et al., 2020</v>
      </c>
      <c r="E51" s="40" t="str">
        <f>HLOOKUP(E$1,google_form!$1:$183,$A51,FALSE)</f>
        <v>https://www.ncei.noaa.gov/access/ocean-carbon-acidification-data-system/oceans/ndp_104/Moby.jpg</v>
      </c>
      <c r="F51" s="36" t="str">
        <f t="shared" ref="F51:G51" si="196">if(ISBLANK($C51), "", F$1)</f>
        <v>fa-solid fa-globe</v>
      </c>
      <c r="G51" s="36" t="str">
        <f t="shared" si="196"/>
        <v>Spatial domains</v>
      </c>
      <c r="H51" s="36" t="str">
        <f>HLOOKUP(H$1,google_form!$1:$183,$A51,FALSE)</f>
        <v>Open ocean</v>
      </c>
      <c r="I51" s="36" t="str">
        <f t="shared" ref="I51:J51" si="197">if(ISBLANK($C51), "", I$1)</f>
        <v>fa-solid fa-hourglass-start</v>
      </c>
      <c r="J51" s="36" t="str">
        <f t="shared" si="197"/>
        <v>Temporal resolution</v>
      </c>
      <c r="K51" s="36" t="str">
        <f>HLOOKUP(K$1,google_form!$1:$183,$A51,FALSE)</f>
        <v>monthly, climatology</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2010</v>
      </c>
      <c r="R51" s="36" t="str">
        <f>HLOOKUP(R$1,google_form!$1:$183,$A51,FALSE)</f>
        <v>Seasonal variability of DIC in the interior ocean from surface to 2000 m</v>
      </c>
      <c r="S51" s="36" t="str">
        <f>HLOOKUP(S$1,google_form!$1:$183,$A51,FALSE)</f>
        <v>Keppler et al., 2020</v>
      </c>
      <c r="T51" s="40" t="str">
        <f>HLOOKUP(T$1,google_form!$1:$183,$A51,FALSE)</f>
        <v>https://doi.org/10.1029/2020GB006571</v>
      </c>
      <c r="U51" s="40" t="str">
        <f>HLOOKUP(U$1,google_form!$1:$183,$A51,FALSE)</f>
        <v>https://www.ncei.noaa.gov/access/ocean-carbon-acidification-data-system/oceans/ndp_104/ndp104.html</v>
      </c>
      <c r="V51" s="36" t="str">
        <f t="shared" si="10"/>
        <v>Description</v>
      </c>
      <c r="W51" s="36" t="str">
        <f>HLOOKUP(W$1,google_form!$1:$183,$A51,FALSE)</f>
        <v>Keppler et al. (2020) produced a global interior ocean DIC monthly climatology (average climatological values for January through December) on a 1° × 1° grid at 33 standardized depth levels from the surface to 2000 m. </v>
      </c>
      <c r="X51" s="36" t="str">
        <f t="shared" si="11"/>
        <v>Reference</v>
      </c>
      <c r="Y51" s="36" t="str">
        <f>HLOOKUP(Y$1,google_form!$1:$183,$A51,FALSE)</f>
        <v>Keppler, L., Landschützer, P., Gruber, N., Lauvset, S. K., and Stemmler, I.: Seasonal carbon dynamics in the near-global ocean, Global Biogeochemical Cycles, 34(12), e2020GB006571, https://doi.org/10.1029/2020GB006571, 2020.</v>
      </c>
    </row>
    <row r="52">
      <c r="A52" s="36">
        <v>51.0</v>
      </c>
      <c r="B52" s="36" t="str">
        <f>HLOOKUP(B$1,google_form!$1:$183,$A52,FALSE)</f>
        <v>Gridded subsurface</v>
      </c>
      <c r="C52" s="36" t="str">
        <f>HLOOKUP(C$1,google_form!$1:$183,$A52,FALSE)</f>
        <v>MOBO-DIC (Version 2023)</v>
      </c>
      <c r="D52" s="36" t="str">
        <f>HLOOKUP(D$1,google_form!$1:$183,$A52,FALSE)</f>
        <v>Keppler et al. (2023)</v>
      </c>
      <c r="E52" s="40" t="str">
        <f>HLOOKUP(E$1,google_form!$1:$183,$A52,FALSE)</f>
        <v>https://www.ncei.noaa.gov/access/ocean-carbon-acidification-data-system/oceans/ndp_104/Moby.jpg</v>
      </c>
      <c r="F52" s="36" t="str">
        <f t="shared" ref="F52:G52" si="200">if(ISBLANK($C52), "", F$1)</f>
        <v>fa-solid fa-globe</v>
      </c>
      <c r="G52" s="36" t="str">
        <f t="shared" si="200"/>
        <v>Spatial domains</v>
      </c>
      <c r="H52" s="36" t="str">
        <f>HLOOKUP(H$1,google_form!$1:$183,$A52,FALSE)</f>
        <v>Open ocean</v>
      </c>
      <c r="I52" s="36" t="str">
        <f t="shared" ref="I52:J52" si="201">if(ISBLANK($C52), "", I$1)</f>
        <v>fa-solid fa-hourglass-start</v>
      </c>
      <c r="J52" s="36" t="str">
        <f t="shared" si="201"/>
        <v>Temporal resolution</v>
      </c>
      <c r="K52" s="36" t="str">
        <f>HLOOKUP(K$1,google_form!$1:$183,$A52,FALSE)</f>
        <v>monthly</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2004-2020</v>
      </c>
      <c r="R52" s="36" t="str">
        <f>HLOOKUP(R$1,google_form!$1:$183,$A52,FALSE)</f>
        <v>Temporal trends and interannual variability of DIC in the interior ocean from surface to 1500 m</v>
      </c>
      <c r="S52" s="36" t="str">
        <f>HLOOKUP(S$1,google_form!$1:$183,$A52,FALSE)</f>
        <v>Keppler et al. (2023)</v>
      </c>
      <c r="T52" s="40" t="str">
        <f>HLOOKUP(T$1,google_form!$1:$183,$A52,FALSE)</f>
        <v>https://doi.org/10.1029/2022gb007677</v>
      </c>
      <c r="U52" s="40" t="str">
        <f>HLOOKUP(U$1,google_form!$1:$183,$A52,FALSE)</f>
        <v>https://www.ncei.noaa.gov/data/oceans/ncei/ocads/metadata/0277099.html</v>
      </c>
      <c r="V52" s="36" t="str">
        <f t="shared" si="10"/>
        <v>Description</v>
      </c>
      <c r="W52" s="36" t="str">
        <f>HLOOKUP(W$1,google_form!$1:$183,$A52,FALSE)</f>
        <v>Keppler et al. (2023) extended the temporal resolution of MOBO-DIC to resolve monthly fields from January 2004 to December 2019, as opposed to the average climatological values in Keppler et al. (2020).</v>
      </c>
      <c r="X52" s="36" t="str">
        <f t="shared" si="11"/>
        <v>Reference</v>
      </c>
      <c r="Y52" s="36" t="str">
        <f>HLOOKUP(Y$1,google_form!$1:$183,$A52,FALSE)</f>
        <v>Keppler, L., Landschützer, P., Lauvset, S. K., and Gruber, N.: Recent trends and variability in the oceanic storage of dissolved inorganic carbon, Global Biogeochemical Cycles, 37(5), https://doi.org/10.1029/2022gb007677, 2023.</v>
      </c>
    </row>
    <row r="53">
      <c r="A53" s="36">
        <v>52.0</v>
      </c>
      <c r="B53" s="36" t="str">
        <f>HLOOKUP(B$1,google_form!$1:$183,$A53,FALSE)</f>
        <v>Gridded subsurface</v>
      </c>
      <c r="C53" s="36" t="str">
        <f>HLOOKUP(C$1,google_form!$1:$183,$A53,FALSE)</f>
        <v>Monthly Interior Ocean pH Climatology</v>
      </c>
      <c r="D53" s="36" t="str">
        <f>HLOOKUP(D$1,google_form!$1:$183,$A53,FALSE)</f>
        <v>Zhong et al. (2025)</v>
      </c>
      <c r="E53" s="40" t="str">
        <f>HLOOKUP(E$1,google_form!$1:$183,$A53,FALSE)</f>
        <v>https://appletmsdc.qdio.ac.cn//files/metadata/images/2025-11-07_1681888486837194754/DATA2023000009_zhongguorong_1.jpg</v>
      </c>
      <c r="F53" s="36" t="str">
        <f t="shared" ref="F53:G53" si="204">if(ISBLANK($C53), "", F$1)</f>
        <v>fa-solid fa-globe</v>
      </c>
      <c r="G53" s="36" t="str">
        <f t="shared" si="204"/>
        <v>Spatial domains</v>
      </c>
      <c r="H53" s="36" t="str">
        <f>HLOOKUP(H$1,google_form!$1:$183,$A53,FALSE)</f>
        <v>Open ocean, Water column</v>
      </c>
      <c r="I53" s="36" t="str">
        <f t="shared" ref="I53:J53" si="205">if(ISBLANK($C53), "", I$1)</f>
        <v>fa-solid fa-hourglass-start</v>
      </c>
      <c r="J53" s="36" t="str">
        <f t="shared" si="205"/>
        <v>Temporal resolution</v>
      </c>
      <c r="K53" s="36" t="str">
        <f>HLOOKUP(K$1,google_form!$1:$183,$A53,FALSE)</f>
        <v>monthly</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1992 - 2020</v>
      </c>
      <c r="R53" s="36" t="str">
        <f>HLOOKUP(R$1,google_form!$1:$183,$A53,FALSE)</f>
        <v>Temporal variability of pH in the interior ocean from surface to 2000 m over 3 decades</v>
      </c>
      <c r="S53" s="36" t="str">
        <f>HLOOKUP(S$1,google_form!$1:$183,$A53,FALSE)</f>
        <v>Zhong et al. (2025)</v>
      </c>
      <c r="T53" s="40" t="str">
        <f>HLOOKUP(T$1,google_form!$1:$183,$A53,FALSE)</f>
        <v> http://doi.org/10.12157/IOCAS.20230720.001</v>
      </c>
      <c r="U53" s="40" t="str">
        <f>HLOOKUP(U$1,google_form!$1:$183,$A53,FALSE)</f>
        <v> http://doi.org/10.12157/IOCAS.20230720.001</v>
      </c>
      <c r="V53" s="36" t="str">
        <f t="shared" si="10"/>
        <v>Description</v>
      </c>
      <c r="W53" s="36" t="str">
        <f>HLOOKUP(W$1,google_form!$1:$183,$A53,FALSE)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3" s="36" t="str">
        <f t="shared" si="11"/>
        <v>Reference</v>
      </c>
      <c r="Y53" s="36" t="str">
        <f>HLOOKUP(Y$1,google_form!$1:$183,$A53,FALSE)</f>
        <v>Zhong, G., Li, X., Song, J., Qu, B., Wang, F., Wang, Y., Zhang, B., Cheng, L., Ma, J., Yuan, H., Duan, L., Li, N., Wang, Q., Xing, J., and Dai, J. 2025. A global monthly 3D field of seawater pH over 3 decades: a machine learning approach, Earth Syst. Sci. Data, 17, 719–740, https://doi.org/10.5194/essd-17-719-2025.</v>
      </c>
    </row>
    <row r="54">
      <c r="A54" s="36">
        <v>53.0</v>
      </c>
      <c r="B54" s="36" t="str">
        <f>HLOOKUP(B$1,google_form!$1:$183,$A54,FALSE)</f>
        <v>Gridded subsurface</v>
      </c>
      <c r="C54" s="36" t="str">
        <f>HLOOKUP(C$1,google_form!$1:$183,$A54,FALSE)</f>
        <v>Monthly Interior Ocean TA Climatology</v>
      </c>
      <c r="D54" s="36" t="str">
        <f>HLOOKUP(D$1,google_form!$1:$183,$A54,FALSE)</f>
        <v>Broullon et al., (2019)</v>
      </c>
      <c r="E54" s="40" t="str">
        <f>HLOOKUP(E$1,google_form!$1:$183,$A54,FALSE)</f>
        <v>https://essd.copernicus.org/articles/11/1109/2019/essd-11-1109-2019-f09-web.png</v>
      </c>
      <c r="F54" s="36" t="str">
        <f t="shared" ref="F54:G54" si="208">if(ISBLANK($C54), "", F$1)</f>
        <v>fa-solid fa-globe</v>
      </c>
      <c r="G54" s="36" t="str">
        <f t="shared" si="208"/>
        <v>Spatial domains</v>
      </c>
      <c r="H54" s="36" t="str">
        <f>HLOOKUP(H$1,google_form!$1:$183,$A54,FALSE)</f>
        <v>Open ocean, Water column</v>
      </c>
      <c r="I54" s="36" t="str">
        <f t="shared" ref="I54:J54" si="209">if(ISBLANK($C54), "", I$1)</f>
        <v>fa-solid fa-hourglass-start</v>
      </c>
      <c r="J54" s="36" t="str">
        <f t="shared" si="209"/>
        <v>Temporal resolution</v>
      </c>
      <c r="K54" s="36" t="str">
        <f>HLOOKUP(K$1,google_form!$1:$183,$A54,FALSE)</f>
        <v>monthly, climatology</v>
      </c>
      <c r="L54" s="36" t="str">
        <f t="shared" ref="L54:M54" si="210">if(ISBLANK($C54), "", L$1)</f>
        <v>fa-solid fa-ruler-horizontal</v>
      </c>
      <c r="M54" s="36" t="str">
        <f t="shared" si="210"/>
        <v>Spatial resolution</v>
      </c>
      <c r="N54" s="41" t="str">
        <f>HLOOKUP(N$1,google_form!$1:$183,$A54,FALSE)</f>
        <v>1° x 1°</v>
      </c>
      <c r="O54" s="36" t="str">
        <f t="shared" ref="O54:P54" si="211">if(ISBLANK($C54), "", O$1)</f>
        <v>fa-solid fa-calendar-days</v>
      </c>
      <c r="P54" s="36" t="str">
        <f t="shared" si="211"/>
        <v>Period</v>
      </c>
      <c r="Q54" s="36" t="str">
        <f>HLOOKUP(Q$1,google_form!$1:$183,$A54,FALSE)</f>
        <v/>
      </c>
      <c r="R54" s="36" t="str">
        <f>HLOOKUP(R$1,google_form!$1:$183,$A54,FALSE)</f>
        <v>Ocean interior climatology for TA from surface to bottom</v>
      </c>
      <c r="S54" s="36" t="str">
        <f>HLOOKUP(S$1,google_form!$1:$183,$A54,FALSE)</f>
        <v>Broullon et al., (2019)</v>
      </c>
      <c r="T54" s="36" t="str">
        <f>HLOOKUP(T$1,google_form!$1:$183,$A54,FALSE)</f>
        <v>https://doi.org/10.5194/essd-11-1109-2019, 2019</v>
      </c>
      <c r="U54" s="40" t="str">
        <f>HLOOKUP(U$1,google_form!$1:$183,$A54,FALSE)</f>
        <v>https://doi.org/10.25921/5p69-y471</v>
      </c>
      <c r="V54" s="36" t="str">
        <f t="shared" si="10"/>
        <v>Description</v>
      </c>
      <c r="W54" s="36" t="str">
        <f>HLOOKUP(W$1,google_form!$1:$183,$A54,FALSE)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4" s="36" t="str">
        <f t="shared" si="11"/>
        <v>Reference</v>
      </c>
      <c r="Y54" s="36" t="str">
        <f>HLOOKUP(Y$1,google_form!$1:$183,$A54,FALSE)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5">
      <c r="A55" s="36">
        <v>54.0</v>
      </c>
      <c r="B55" s="36" t="str">
        <f>HLOOKUP(B$1,google_form!$1:$183,$A55,FALSE)</f>
        <v>Gridded subsurface</v>
      </c>
      <c r="C55" s="36" t="str">
        <f>HLOOKUP(C$1,google_form!$1:$183,$A55,FALSE)</f>
        <v>Decadal Trends in Anthropogenic CO2 from 1994 to 2014</v>
      </c>
      <c r="D55" s="36" t="str">
        <f>HLOOKUP(D$1,google_form!$1:$183,$A55,FALSE)</f>
        <v>Müller et al. (2023)</v>
      </c>
      <c r="E55" s="40" t="str">
        <f>HLOOKUP(E$1,google_form!$1:$183,$A55,FALSE)</f>
        <v>https://eos.org/wp-content/uploads/2023/08/Fig2_highlight.jpg</v>
      </c>
      <c r="F55" s="36" t="str">
        <f t="shared" ref="F55:G55" si="212">if(ISBLANK($C55), "", F$1)</f>
        <v>fa-solid fa-globe</v>
      </c>
      <c r="G55" s="36" t="str">
        <f t="shared" si="212"/>
        <v>Spatial domains</v>
      </c>
      <c r="H55" s="36" t="str">
        <f>HLOOKUP(H$1,google_form!$1:$183,$A55,FALSE)</f>
        <v>Open ocean, Water column</v>
      </c>
      <c r="I55" s="36" t="str">
        <f t="shared" ref="I55:J55" si="213">if(ISBLANK($C55), "", I$1)</f>
        <v>fa-solid fa-hourglass-start</v>
      </c>
      <c r="J55" s="36" t="str">
        <f t="shared" si="213"/>
        <v>Temporal resolution</v>
      </c>
      <c r="K55" s="36" t="str">
        <f>HLOOKUP(K$1,google_form!$1:$183,$A55,FALSE)</f>
        <v>decadal</v>
      </c>
      <c r="L55" s="36" t="str">
        <f t="shared" ref="L55:M55" si="214">if(ISBLANK($C55), "", L$1)</f>
        <v>fa-solid fa-ruler-horizontal</v>
      </c>
      <c r="M55" s="36" t="str">
        <f t="shared" si="214"/>
        <v>Spatial resolution</v>
      </c>
      <c r="N55" s="41" t="str">
        <f>HLOOKUP(N$1,google_form!$1:$183,$A55,FALSE)</f>
        <v>1° x 1°</v>
      </c>
      <c r="O55" s="36" t="str">
        <f t="shared" ref="O55:P55" si="215">if(ISBLANK($C55), "", O$1)</f>
        <v>fa-solid fa-calendar-days</v>
      </c>
      <c r="P55" s="36" t="str">
        <f t="shared" si="215"/>
        <v>Period</v>
      </c>
      <c r="Q55" s="36" t="str">
        <f>HLOOKUP(Q$1,google_form!$1:$183,$A55,FALSE)</f>
        <v>1994 - 2014</v>
      </c>
      <c r="R55" s="36" t="str">
        <f>HLOOKUP(R$1,google_form!$1:$183,$A55,FALSE)</f>
        <v>Temporal trends in the accumulation of anthropogenic CO2 in the interior ocean are resolved</v>
      </c>
      <c r="S55" s="36" t="str">
        <f>HLOOKUP(S$1,google_form!$1:$183,$A55,FALSE)</f>
        <v>Müller et al. (2023)</v>
      </c>
      <c r="T55" s="40" t="str">
        <f>HLOOKUP(T$1,google_form!$1:$183,$A55,FALSE)</f>
        <v>https://doi.org/10.1029/2023AV000875</v>
      </c>
      <c r="U55" s="40" t="str">
        <f>HLOOKUP(U$1,google_form!$1:$183,$A55,FALSE)</f>
        <v>https://doi.org/10.25921/ppcf-w020</v>
      </c>
      <c r="V55" s="36" t="str">
        <f t="shared" si="10"/>
        <v>Description</v>
      </c>
      <c r="W55" s="36" t="str">
        <f>HLOOKUP(W$1,google_form!$1:$183,$A55,FALSE)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5" s="36" t="str">
        <f t="shared" si="11"/>
        <v>Reference</v>
      </c>
      <c r="Y55" s="36" t="str">
        <f>HLOOKUP(Y$1,google_form!$1:$183,$A55,FALSE)</f>
        <v> Müller, J. D., Gruber, N., Carter, B., Feely, R., Ishii, M., Lange, N., et al. (2023). Decadal trends in the oceanic storage of anthropogenic carbon from 1994 to 2014. AGU Advances, 4, e2023AV000875. https://doi.org/10.1029/2023AV000875</v>
      </c>
    </row>
    <row r="56">
      <c r="A56" s="36">
        <v>55.0</v>
      </c>
      <c r="B56" s="36" t="str">
        <f>HLOOKUP(B$1,google_form!$1:$183,$A56,FALSE)</f>
        <v>Gridded subsurface</v>
      </c>
      <c r="C56" s="36" t="str">
        <f>HLOOKUP(C$1,google_form!$1:$183,$A56,FALSE)</f>
        <v>Ocean Interior Acidification over the Industrial Era</v>
      </c>
      <c r="D56" s="36" t="str">
        <f>HLOOKUP(D$1,google_form!$1:$183,$A56,FALSE)</f>
        <v>Müller et al. (2024)</v>
      </c>
      <c r="E56" s="40" t="str">
        <f>HLOOKUP(E$1,google_form!$1:$183,$A56,FALSE)</f>
        <v>https://i.ibb.co/YT3rjvDc/sciadv-ado3103-f1.jpg</v>
      </c>
      <c r="F56" s="36" t="str">
        <f t="shared" ref="F56:G56" si="216">if(ISBLANK($C56), "", F$1)</f>
        <v>fa-solid fa-globe</v>
      </c>
      <c r="G56" s="36" t="str">
        <f t="shared" si="216"/>
        <v>Spatial domains</v>
      </c>
      <c r="H56" s="36" t="str">
        <f>HLOOKUP(H$1,google_form!$1:$183,$A56,FALSE)</f>
        <v>Open ocean, Water column</v>
      </c>
      <c r="I56" s="36" t="str">
        <f t="shared" ref="I56:J56" si="217">if(ISBLANK($C56), "", I$1)</f>
        <v>fa-solid fa-hourglass-start</v>
      </c>
      <c r="J56" s="36" t="str">
        <f t="shared" si="217"/>
        <v>Temporal resolution</v>
      </c>
      <c r="K56" s="36" t="str">
        <f>HLOOKUP(K$1,google_form!$1:$183,$A56,FALSE)</f>
        <v>decadal</v>
      </c>
      <c r="L56" s="36" t="str">
        <f t="shared" ref="L56:M56" si="218">if(ISBLANK($C56), "", L$1)</f>
        <v>fa-solid fa-ruler-horizontal</v>
      </c>
      <c r="M56" s="36" t="str">
        <f t="shared" si="218"/>
        <v>Spatial resolution</v>
      </c>
      <c r="N56" s="41" t="str">
        <f>HLOOKUP(N$1,google_form!$1:$183,$A56,FALSE)</f>
        <v>1° x 1°</v>
      </c>
      <c r="O56" s="36" t="str">
        <f t="shared" ref="O56:P56" si="219">if(ISBLANK($C56), "", O$1)</f>
        <v>fa-solid fa-calendar-days</v>
      </c>
      <c r="P56" s="36" t="str">
        <f t="shared" si="219"/>
        <v>Period</v>
      </c>
      <c r="Q56" s="36" t="str">
        <f>HLOOKUP(Q$1,google_form!$1:$183,$A56,FALSE)</f>
        <v>1800 - 2014</v>
      </c>
      <c r="R56" s="36" t="str">
        <f>HLOOKUP(R$1,google_form!$1:$183,$A56,FALSE)</f>
        <v>Temporal trends in the progression of acidification in the interior ocean are resolved</v>
      </c>
      <c r="S56" s="36" t="str">
        <f>HLOOKUP(S$1,google_form!$1:$183,$A56,FALSE)</f>
        <v>Müller et al. (2024)</v>
      </c>
      <c r="T56" s="40" t="str">
        <f>HLOOKUP(T$1,google_form!$1:$183,$A56,FALSE)</f>
        <v>https://doi.org/10.1126/sciadv.ado3103</v>
      </c>
      <c r="U56" s="40" t="str">
        <f>HLOOKUP(U$1,google_form!$1:$183,$A56,FALSE)</f>
        <v>https://doi.org/10.25921/tefm-x802</v>
      </c>
      <c r="V56" s="36" t="str">
        <f t="shared" si="10"/>
        <v>Description</v>
      </c>
      <c r="W56" s="36" t="str">
        <f>HLOOKUP(W$1,google_form!$1:$183,$A56,FALSE)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6" s="36" t="str">
        <f t="shared" si="11"/>
        <v>Reference</v>
      </c>
      <c r="Y56" s="36" t="str">
        <f>HLOOKUP(Y$1,google_form!$1:$183,$A56,FALSE)</f>
        <v>Jens D. Müller, Nicolas Gruber, Progression of ocean interior acidification over the industrial era. Sci. Adv.10, eado3103(2024). DOI:10.1126/sciadv.ado3103</v>
      </c>
    </row>
    <row r="57">
      <c r="A57" s="36">
        <v>56.0</v>
      </c>
      <c r="B57" s="36" t="str">
        <f>HLOOKUP(B$1,google_form!$1:$183,$A57,FALSE)</f>
        <v>Harmonized</v>
      </c>
      <c r="C57" s="36" t="str">
        <f>HLOOKUP(C$1,google_form!$1:$183,$A57,FALSE)</f>
        <v>SeaFlux</v>
      </c>
      <c r="D57" s="36" t="str">
        <f>HLOOKUP(D$1,google_form!$1:$183,$A57,FALSE)</f>
        <v>Fay and Gregor et al. (2021)</v>
      </c>
      <c r="E57" s="40" t="str">
        <f>HLOOKUP(E$1,google_form!$1:$183,$A57,FALSE)</f>
        <v>https://seaflux.readthedocs.io/en/latest/_static/seaflux_logo.png</v>
      </c>
      <c r="F57" s="36" t="str">
        <f t="shared" ref="F57:G57" si="220">if(ISBLANK($C57), "", F$1)</f>
        <v>fa-solid fa-globe</v>
      </c>
      <c r="G57" s="36" t="str">
        <f t="shared" si="220"/>
        <v>Spatial domains</v>
      </c>
      <c r="H57" s="36" t="str">
        <f>HLOOKUP(H$1,google_form!$1:$183,$A57,FALSE)</f>
        <v>Open ocean, Surface</v>
      </c>
      <c r="I57" s="36" t="str">
        <f t="shared" ref="I57:J57" si="221">if(ISBLANK($C57), "", I$1)</f>
        <v>fa-solid fa-hourglass-start</v>
      </c>
      <c r="J57" s="36" t="str">
        <f t="shared" si="221"/>
        <v>Temporal resolution</v>
      </c>
      <c r="K57" s="36" t="str">
        <f>HLOOKUP(K$1,google_form!$1:$183,$A57,FALSE)</f>
        <v>monthly</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1990 - 2022</v>
      </c>
      <c r="R57" s="36" t="str">
        <f>HLOOKUP(R$1,google_form!$1:$183,$A57,FALSE)</f>
        <v>Careful consideration of flux calculation provides a resource and code to the community for independent flux calculations</v>
      </c>
      <c r="S57" s="36" t="str">
        <f>HLOOKUP(S$1,google_form!$1:$183,$A57,FALSE)</f>
        <v>Fay and Gregor et al. (2021)</v>
      </c>
      <c r="T57" s="40" t="str">
        <f>HLOOKUP(T$1,google_form!$1:$183,$A57,FALSE)</f>
        <v>https://doi.org/10.5194/essd-2021-16</v>
      </c>
      <c r="U57" s="40" t="str">
        <f>HLOOKUP(U$1,google_form!$1:$183,$A57,FALSE)</f>
        <v>https://zenodo.org/records/8280457</v>
      </c>
      <c r="V57" s="36" t="str">
        <f t="shared" si="10"/>
        <v>Description</v>
      </c>
      <c r="W57" s="36" t="str">
        <f>HLOOKUP(W$1,google_form!$1:$183,$A57,FALSE)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HLOOKUP(Y$1,google_form!$1:$183,$A57,FALSE)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HLOOKUP(B$1,google_form!$1:$183,$A58,FALSE)</f>
        <v>Model-based</v>
      </c>
      <c r="C58" s="36" t="str">
        <f>HLOOKUP(C$1,google_form!$1:$183,$A58,FALSE)</f>
        <v>ECCO-Darwin</v>
      </c>
      <c r="D58" s="36" t="str">
        <f>HLOOKUP(D$1,google_form!$1:$183,$A58,FALSE)</f>
        <v>Carroll et al. (2020)</v>
      </c>
      <c r="E58" s="40" t="str">
        <f>HLOOKUP(E$1,google_form!$1:$183,$A58,FALSE)</f>
        <v>https://ecco-group.org/images/ecco_rotator01.jpg</v>
      </c>
      <c r="F58" s="36" t="str">
        <f t="shared" ref="F58:G58" si="224">if(ISBLANK($C58), "", F$1)</f>
        <v>fa-solid fa-globe</v>
      </c>
      <c r="G58" s="36" t="str">
        <f t="shared" si="224"/>
        <v>Spatial domains</v>
      </c>
      <c r="H58" s="36" t="str">
        <f>HLOOKUP(H$1,google_form!$1:$183,$A58,FALSE)</f>
        <v>Open ocean, Coastal ocean, Surface, Water column</v>
      </c>
      <c r="I58" s="36" t="str">
        <f t="shared" ref="I58:J58" si="225">if(ISBLANK($C58), "", I$1)</f>
        <v>fa-solid fa-hourglass-start</v>
      </c>
      <c r="J58" s="36" t="str">
        <f t="shared" si="225"/>
        <v>Temporal resolution</v>
      </c>
      <c r="K58" s="36" t="str">
        <f>HLOOKUP(K$1,google_form!$1:$183,$A58,FALSE)</f>
        <v>daily, monthly</v>
      </c>
      <c r="L58" s="36" t="str">
        <f t="shared" ref="L58:M58" si="226">if(ISBLANK($C58), "", L$1)</f>
        <v>fa-solid fa-ruler-horizontal</v>
      </c>
      <c r="M58" s="36" t="str">
        <f t="shared" si="226"/>
        <v>Spatial resolution</v>
      </c>
      <c r="N58" s="41" t="str">
        <f>HLOOKUP(N$1,google_form!$1:$183,$A58,FALSE)</f>
        <v>0.33° x 0.33°</v>
      </c>
      <c r="O58" s="36" t="str">
        <f t="shared" ref="O58:P58" si="227">if(ISBLANK($C58), "", O$1)</f>
        <v>fa-solid fa-calendar-days</v>
      </c>
      <c r="P58" s="36" t="str">
        <f t="shared" si="227"/>
        <v>Period</v>
      </c>
      <c r="Q58" s="36" t="str">
        <f>HLOOKUP(Q$1,google_form!$1:$183,$A58,FALSE)</f>
        <v>1992 - 2018</v>
      </c>
      <c r="R58" s="36" t="str">
        <f>HLOOKUP(R$1,google_form!$1:$183,$A58,FALSE)</f>
        <v>Model-data synthesis product based on the Estimating the Circulation and Climate of the Ocean (ECCO) ocean state estimate. Fully-closed, physically-consistent 3-D biogeochemical budgets.</v>
      </c>
      <c r="S58" s="36" t="str">
        <f>HLOOKUP(S$1,google_form!$1:$183,$A58,FALSE)</f>
        <v>Carroll et al. (2020)</v>
      </c>
      <c r="T58" s="40" t="str">
        <f>HLOOKUP(T$1,google_form!$1:$183,$A58,FALSE)</f>
        <v>https://doi.org/10.5281/zenodo.10627664</v>
      </c>
      <c r="U58" s="40" t="str">
        <f>HLOOKUP(U$1,google_form!$1:$183,$A58,FALSE)</f>
        <v>https://data.nas.nasa.gov/ecco/</v>
      </c>
      <c r="V58" s="36" t="str">
        <f t="shared" si="10"/>
        <v>Description</v>
      </c>
      <c r="W58" s="36" t="str">
        <f>HLOOKUP(W$1,google_form!$1:$183,$A58,FALSE)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8" s="36" t="str">
        <f t="shared" si="11"/>
        <v>Reference</v>
      </c>
      <c r="Y58" s="36" t="str">
        <f>HLOOKUP(Y$1,google_form!$1:$183,$A58,FALSE)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9">
      <c r="A59" s="36">
        <v>58.0</v>
      </c>
      <c r="B59" s="36" t="str">
        <f>HLOOKUP(B$1,google_form!$1:$183,$A59,FALSE)</f>
        <v>Model-based</v>
      </c>
      <c r="C59" s="36" t="str">
        <f>HLOOKUP(C$1,google_form!$1:$183,$A59,FALSE)</f>
        <v>Tracer-based Rapid Anthropogenic Carbon Estimation (TRACE) gridded Canth</v>
      </c>
      <c r="D59" s="36" t="str">
        <f>HLOOKUP(D$1,google_form!$1:$183,$A59,FALSE)</f>
        <v>Carter et al. (2025)</v>
      </c>
      <c r="E59" s="40" t="str">
        <f>HLOOKUP(E$1,google_form!$1:$183,$A59,FALSE)</f>
        <v>https://essd.copernicus.org/articles/17/3073/2025/essd-17-3073-2025-avatar-web.png</v>
      </c>
      <c r="F59" s="36" t="str">
        <f t="shared" ref="F59:G59" si="228">if(ISBLANK($C59), "", F$1)</f>
        <v>fa-solid fa-globe</v>
      </c>
      <c r="G59" s="36" t="str">
        <f t="shared" si="228"/>
        <v>Spatial domains</v>
      </c>
      <c r="H59" s="36" t="str">
        <f>HLOOKUP(H$1,google_form!$1:$183,$A59,FALSE)</f>
        <v>Open ocean, Surface, Water column</v>
      </c>
      <c r="I59" s="36" t="str">
        <f t="shared" ref="I59:J59" si="229">if(ISBLANK($C59), "", I$1)</f>
        <v>fa-solid fa-hourglass-start</v>
      </c>
      <c r="J59" s="36" t="str">
        <f t="shared" si="229"/>
        <v>Temporal resolution</v>
      </c>
      <c r="K59" s="36" t="str">
        <f>HLOOKUP(K$1,google_form!$1:$183,$A59,FALSE)</f>
        <v>irregular</v>
      </c>
      <c r="L59" s="36" t="str">
        <f t="shared" ref="L59:M59" si="230">if(ISBLANK($C59), "", L$1)</f>
        <v>fa-solid fa-ruler-horizontal</v>
      </c>
      <c r="M59" s="36" t="str">
        <f t="shared" si="230"/>
        <v>Spatial resolution</v>
      </c>
      <c r="N59" s="41" t="str">
        <f>HLOOKUP(N$1,google_form!$1:$183,$A59,FALSE)</f>
        <v>1° x 1°</v>
      </c>
      <c r="O59" s="36" t="str">
        <f t="shared" ref="O59:P59" si="231">if(ISBLANK($C59), "", O$1)</f>
        <v>fa-solid fa-calendar-days</v>
      </c>
      <c r="P59" s="36" t="str">
        <f t="shared" si="231"/>
        <v>Period</v>
      </c>
      <c r="Q59" s="36" t="str">
        <f>HLOOKUP(Q$1,google_form!$1:$183,$A59,FALSE)</f>
        <v>1750-2500</v>
      </c>
      <c r="R59" s="36" t="str">
        <f>HLOOKUP(R$1,google_form!$1:$183,$A59,FALSE)</f>
        <v>New methods for rapidly estimating anthropogenic carbon from temperature, salinity, and date are presented.  The methods are then used with SSPs to estimate anthropogenic carbon in the ocean globally from 1750 to 2500.</v>
      </c>
      <c r="S59" s="36" t="str">
        <f>HLOOKUP(S$1,google_form!$1:$183,$A59,FALSE)</f>
        <v>Carter et al. (2025)</v>
      </c>
      <c r="T59" s="40" t="str">
        <f>HLOOKUP(T$1,google_form!$1:$183,$A59,FALSE)</f>
        <v>https://doi.org/10.5194/essd-17-3073-2025</v>
      </c>
      <c r="U59" s="40" t="str">
        <f>HLOOKUP(U$1,google_form!$1:$183,$A59,FALSE)</f>
        <v>https://zenodo.org/records/15692788</v>
      </c>
      <c r="V59" s="36" t="str">
        <f t="shared" si="10"/>
        <v>Description</v>
      </c>
      <c r="W59" s="36" t="str">
        <f>HLOOKUP(W$1,google_form!$1:$183,$A59,FALSE)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9" s="36" t="str">
        <f t="shared" si="11"/>
        <v>Reference</v>
      </c>
      <c r="Y59" s="36" t="str">
        <f>HLOOKUP(Y$1,google_form!$1:$183,$A59,FALSE)</f>
        <v>Carter, B. R., Schwinger, J., Sonnerup, R., Fassbender, A. J., Sharp, J. D., Dias, L. M., &amp; Sandborn, D. E. (2025). Tracer-based Rapid Anthropogenic Carbon Estimation (TRACE). Earth System Science Data, 17(6), 3073-3088.</v>
      </c>
    </row>
    <row r="60">
      <c r="A60" s="36">
        <v>59.0</v>
      </c>
      <c r="B60" s="36" t="str">
        <f>HLOOKUP(B$1,google_form!$1:$183,$A60,FALSE)</f>
        <v>Model-based</v>
      </c>
      <c r="C60" s="36" t="str">
        <f>HLOOKUP(C$1,google_form!$1:$183,$A60,FALSE)</f>
        <v>Preformed properties for marine organic matter and carbonate mineral cycling quantification</v>
      </c>
      <c r="D60" s="36" t="str">
        <f>HLOOKUP(D$1,google_form!$1:$183,$A60,FALSE)</f>
        <v>Carter et al. (2021)</v>
      </c>
      <c r="E60" s="40" t="str">
        <f>HLOOKUP(E$1,google_form!$1:$183,$A60,FALSE)</f>
        <v>https://agupubs.onlinelibrary.wiley.com/cms/asset/a70dc130-3967-4e0c-bab1-fa5967af0a63/gbc21075-fig-0003-m.jpg</v>
      </c>
      <c r="F60" s="36" t="str">
        <f t="shared" ref="F60:G60" si="232">if(ISBLANK($C60), "", F$1)</f>
        <v>fa-solid fa-globe</v>
      </c>
      <c r="G60" s="36" t="str">
        <f t="shared" si="232"/>
        <v>Spatial domains</v>
      </c>
      <c r="H60" s="36" t="str">
        <f>HLOOKUP(H$1,google_form!$1:$183,$A60,FALSE)</f>
        <v>Open ocean, Water column</v>
      </c>
      <c r="I60" s="36" t="str">
        <f t="shared" ref="I60:J60" si="233">if(ISBLANK($C60), "", I$1)</f>
        <v>fa-solid fa-hourglass-start</v>
      </c>
      <c r="J60" s="36" t="str">
        <f t="shared" si="233"/>
        <v>Temporal resolution</v>
      </c>
      <c r="K60" s="36" t="str">
        <f>HLOOKUP(K$1,google_form!$1:$183,$A60,FALSE)</f>
        <v>climatology</v>
      </c>
      <c r="L60" s="36" t="str">
        <f t="shared" ref="L60:M60" si="234">if(ISBLANK($C60), "", L$1)</f>
        <v>fa-solid fa-ruler-horizontal</v>
      </c>
      <c r="M60" s="36" t="str">
        <f t="shared" si="234"/>
        <v>Spatial resolution</v>
      </c>
      <c r="N60" s="41" t="str">
        <f>HLOOKUP(N$1,google_form!$1:$183,$A60,FALSE)</f>
        <v>1° x 1°</v>
      </c>
      <c r="O60" s="36" t="str">
        <f t="shared" ref="O60:P60" si="235">if(ISBLANK($C60), "", O$1)</f>
        <v>fa-solid fa-calendar-days</v>
      </c>
      <c r="P60" s="36" t="str">
        <f t="shared" si="235"/>
        <v>Period</v>
      </c>
      <c r="Q60" s="36" t="str">
        <f>HLOOKUP(Q$1,google_form!$1:$183,$A60,FALSE)</f>
        <v/>
      </c>
      <c r="R60" s="36" t="str">
        <f>HLOOKUP(R$1,google_form!$1:$183,$A60,FALSE)</f>
        <v>We have updated global preformed biogeochemical property estimates and provided the estimates for analysis and model validation</v>
      </c>
      <c r="S60" s="36" t="str">
        <f>HLOOKUP(S$1,google_form!$1:$183,$A60,FALSE)</f>
        <v>Carter et al. (2021)</v>
      </c>
      <c r="T60" s="40" t="str">
        <f>HLOOKUP(T$1,google_form!$1:$183,$A60,FALSE)</f>
        <v>https://zenodo.org/records/3745002</v>
      </c>
      <c r="U60" s="40" t="str">
        <f>HLOOKUP(U$1,google_form!$1:$183,$A60,FALSE)</f>
        <v>https://github.com/BRCScienceProducts/PreformedPropertyEstimates</v>
      </c>
      <c r="V60" s="36" t="str">
        <f t="shared" si="10"/>
        <v>Description</v>
      </c>
      <c r="W60" s="36" t="str">
        <f>HLOOKUP(W$1,google_form!$1:$183,$A60,FALSE)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0" s="36" t="str">
        <f t="shared" si="11"/>
        <v>Reference</v>
      </c>
      <c r="Y60" s="36" t="str">
        <f>HLOOKUP(Y$1,google_form!$1:$183,$A60,FALSE)</f>
        <v>Carter, B. R., Feely, R. A., Lauvset, S. K., Olsen, A., DeVries, T., &amp; Sonnerup, R. (2021). Preformed properties for marine organic matter and carbonate mineral cycling quantification. Global Biogeochemical Cycles, 35(1), e2020GB006623.</v>
      </c>
    </row>
    <row r="61">
      <c r="A61" s="36">
        <v>60.0</v>
      </c>
      <c r="B61" s="36" t="str">
        <f>HLOOKUP(B$1,google_form!$1:$183,$A61,FALSE)</f>
        <v>Model-based</v>
      </c>
      <c r="C61" s="36" t="str">
        <f>HLOOKUP(C$1,google_form!$1:$183,$A61,FALSE)</f>
        <v>Decadal Trends in the Ocean Carbon Sink</v>
      </c>
      <c r="D61" s="36" t="str">
        <f>HLOOKUP(D$1,google_form!$1:$183,$A61,FALSE)</f>
        <v>DeVries et al. (2019)</v>
      </c>
      <c r="E61" s="40" t="str">
        <f>HLOOKUP(E$1,google_form!$1:$183,$A61,FALSE)</f>
        <v>https://www.pnas.org/cms/10.1073/pnas.1900371116/asset/284a7ec7-9bf5-4d3a-a5ba-86242a3e1b26/assets/graphic/pnas.1900371116fig01.jpeg</v>
      </c>
      <c r="F61" s="36" t="str">
        <f t="shared" ref="F61:G61" si="236">if(ISBLANK($C61), "", F$1)</f>
        <v>fa-solid fa-globe</v>
      </c>
      <c r="G61" s="36" t="str">
        <f t="shared" si="236"/>
        <v>Spatial domains</v>
      </c>
      <c r="H61" s="36" t="str">
        <f>HLOOKUP(H$1,google_form!$1:$183,$A61,FALSE)</f>
        <v>Open ocean, Surface</v>
      </c>
      <c r="I61" s="36" t="str">
        <f t="shared" ref="I61:J61" si="237">if(ISBLANK($C61), "", I$1)</f>
        <v>fa-solid fa-hourglass-start</v>
      </c>
      <c r="J61" s="36" t="str">
        <f t="shared" si="237"/>
        <v>Temporal resolution</v>
      </c>
      <c r="K61" s="36" t="str">
        <f>HLOOKUP(K$1,google_form!$1:$183,$A61,FALSE)</f>
        <v>yearly</v>
      </c>
      <c r="L61" s="36" t="str">
        <f t="shared" ref="L61:M61" si="238">if(ISBLANK($C61), "", L$1)</f>
        <v>fa-solid fa-ruler-horizontal</v>
      </c>
      <c r="M61" s="36" t="str">
        <f t="shared" si="238"/>
        <v>Spatial resolution</v>
      </c>
      <c r="N61" s="41" t="str">
        <f>HLOOKUP(N$1,google_form!$1:$183,$A61,FALSE)</f>
        <v/>
      </c>
      <c r="O61" s="36" t="str">
        <f t="shared" ref="O61:P61" si="239">if(ISBLANK($C61), "", O$1)</f>
        <v>fa-solid fa-calendar-days</v>
      </c>
      <c r="P61" s="36" t="str">
        <f t="shared" si="239"/>
        <v>Period</v>
      </c>
      <c r="Q61" s="36" t="str">
        <f>HLOOKUP(Q$1,google_form!$1:$183,$A61,FALSE)</f>
        <v>1959 - 2016</v>
      </c>
      <c r="R61" s="36" t="str">
        <f>HLOOKUP(R$1,google_form!$1:$183,$A61,FALSE)</f>
        <v>Climate variability drove weakened ocean CO2 uptake in the 1990s, and strengthened CO2 uptake in the 2000s</v>
      </c>
      <c r="S61" s="36" t="str">
        <f>HLOOKUP(S$1,google_form!$1:$183,$A61,FALSE)</f>
        <v>DeVries et al. (2019)</v>
      </c>
      <c r="T61" s="40" t="str">
        <f>HLOOKUP(T$1,google_form!$1:$183,$A61,FALSE)</f>
        <v>https://doi.org/10.1073/pnas.1900371116</v>
      </c>
      <c r="U61" s="40" t="str">
        <f>HLOOKUP(U$1,google_form!$1:$183,$A61,FALSE)</f>
        <v>https://doi.org/10.6084/m9.figshare.8091161.v1</v>
      </c>
      <c r="V61" s="36" t="str">
        <f t="shared" si="10"/>
        <v>Description</v>
      </c>
      <c r="W61" s="36" t="str">
        <f>HLOOKUP(W$1,google_form!$1:$183,$A61,FALSE)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1" s="36" t="str">
        <f t="shared" si="11"/>
        <v>Reference</v>
      </c>
      <c r="Y61" s="36" t="str">
        <f>HLOOKUP(Y$1,google_form!$1:$183,$A61,FALSE)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2">
      <c r="A62" s="36">
        <v>61.0</v>
      </c>
      <c r="B62" s="36" t="str">
        <f>HLOOKUP(B$1,google_form!$1:$183,$A62,FALSE)</f>
        <v>Model-based</v>
      </c>
      <c r="C62" s="36" t="str">
        <f>HLOOKUP(C$1,google_form!$1:$183,$A62,FALSE)</f>
        <v>OCIM2-48L</v>
      </c>
      <c r="D62" s="36" t="str">
        <f>HLOOKUP(D$1,google_form!$1:$183,$A62,FALSE)</f>
        <v>DeVries (2022b)</v>
      </c>
      <c r="E62" s="40" t="str">
        <f>HLOOKUP(E$1,google_form!$1:$183,$A62,FALSE)</f>
        <v>https://i.ibb.co/Xxbcrf2b/Screenshot-2025-11-14-at-08-56-35.png</v>
      </c>
      <c r="F62" s="36" t="str">
        <f t="shared" ref="F62:G62" si="240">if(ISBLANK($C62), "", F$1)</f>
        <v>fa-solid fa-globe</v>
      </c>
      <c r="G62" s="36" t="str">
        <f t="shared" si="240"/>
        <v>Spatial domains</v>
      </c>
      <c r="H62" s="36" t="str">
        <f>HLOOKUP(H$1,google_form!$1:$183,$A62,FALSE)</f>
        <v>Open ocean</v>
      </c>
      <c r="I62" s="36" t="str">
        <f t="shared" ref="I62:J62" si="241">if(ISBLANK($C62), "", I$1)</f>
        <v>fa-solid fa-hourglass-start</v>
      </c>
      <c r="J62" s="36" t="str">
        <f t="shared" si="241"/>
        <v>Temporal resolution</v>
      </c>
      <c r="K62" s="36" t="str">
        <f>HLOOKUP(K$1,google_form!$1:$183,$A62,FALSE)</f>
        <v>yearly</v>
      </c>
      <c r="L62" s="36" t="str">
        <f t="shared" ref="L62:M62" si="242">if(ISBLANK($C62), "", L$1)</f>
        <v>fa-solid fa-ruler-horizontal</v>
      </c>
      <c r="M62" s="36" t="str">
        <f t="shared" si="242"/>
        <v>Spatial resolution</v>
      </c>
      <c r="N62" s="41" t="str">
        <f>HLOOKUP(N$1,google_form!$1:$183,$A62,FALSE)</f>
        <v>2° x 2°</v>
      </c>
      <c r="O62" s="36" t="str">
        <f t="shared" ref="O62:P62" si="243">if(ISBLANK($C62), "", O$1)</f>
        <v>fa-solid fa-calendar-days</v>
      </c>
      <c r="P62" s="36" t="str">
        <f t="shared" si="243"/>
        <v>Period</v>
      </c>
      <c r="Q62" s="36" t="str">
        <f>HLOOKUP(Q$1,google_form!$1:$183,$A62,FALSE)</f>
        <v>1780-2020</v>
      </c>
      <c r="R62" s="36" t="str">
        <f>HLOOKUP(R$1,google_form!$1:$183,$A62,FALSE)</f>
        <v>Data-constrained estimate of anthropogenic CO2 accumulation in the ocean from inverting physical ocean circulation tracers</v>
      </c>
      <c r="S62" s="36" t="str">
        <f>HLOOKUP(S$1,google_form!$1:$183,$A62,FALSE)</f>
        <v>DeVries (2022b)</v>
      </c>
      <c r="T62" s="40" t="str">
        <f>HLOOKUP(T$1,google_form!$1:$183,$A62,FALSE)</f>
        <v>https://doi.org/10.1029/2021GL096018</v>
      </c>
      <c r="U62" s="40" t="str">
        <f>HLOOKUP(U$1,google_form!$1:$183,$A62,FALSE)</f>
        <v>https://figshare.com/articles/dataset/OCIM2-48L_abiotic_ocean_carbon_cycle_model_output/19341974</v>
      </c>
      <c r="V62" s="36" t="str">
        <f t="shared" si="10"/>
        <v>Description</v>
      </c>
      <c r="W62" s="36" t="str">
        <f>HLOOKUP(W$1,google_form!$1:$183,$A62,FALSE)</f>
        <v>Data-constrained estimate of anthropogenic CO2 accumulation in the ocean from inverting physical ocean circulation tracers</v>
      </c>
      <c r="X62" s="36" t="str">
        <f t="shared" si="11"/>
        <v>Reference</v>
      </c>
      <c r="Y62" s="36" t="str">
        <f>HLOOKUP(Y$1,google_form!$1:$183,$A62,FALSE)</f>
        <v>DeVries, T. (2022). Atmospheric CO2 and sea surface temperature variability cannot explain recent decadal variability of the ocean CO2 sink. Geophysical Research Letters, 49(7), e2021GL096018.</v>
      </c>
    </row>
    <row r="63">
      <c r="A63" s="36">
        <v>62.0</v>
      </c>
      <c r="B63" s="36" t="str">
        <f>HLOOKUP(B$1,google_form!$1:$183,$A63,FALSE)</f>
        <v>Model-based</v>
      </c>
      <c r="C63" s="36" t="str">
        <f>HLOOKUP(C$1,google_form!$1:$183,$A63,FALSE)</f>
        <v>Simulated and Constrained Southern Ocean Carbon Sink</v>
      </c>
      <c r="D63" s="36" t="str">
        <f>HLOOKUP(D$1,google_form!$1:$183,$A63,FALSE)</f>
        <v>Terhaar et al. (2021)</v>
      </c>
      <c r="E63" s="40" t="str">
        <f>HLOOKUP(E$1,google_form!$1:$183,$A63,FALSE)</f>
        <v>https://www.seanoe.org/data/00927/103934/illustration.gif</v>
      </c>
      <c r="F63" s="36" t="str">
        <f t="shared" ref="F63:G63" si="244">if(ISBLANK($C63), "", F$1)</f>
        <v>fa-solid fa-globe</v>
      </c>
      <c r="G63" s="36" t="str">
        <f t="shared" si="244"/>
        <v>Spatial domains</v>
      </c>
      <c r="H63" s="36" t="str">
        <f>HLOOKUP(H$1,google_form!$1:$183,$A63,FALSE)</f>
        <v>Open ocean, Regional</v>
      </c>
      <c r="I63" s="36" t="str">
        <f t="shared" ref="I63:J63" si="245">if(ISBLANK($C63), "", I$1)</f>
        <v>fa-solid fa-hourglass-start</v>
      </c>
      <c r="J63" s="36" t="str">
        <f t="shared" si="245"/>
        <v>Temporal resolution</v>
      </c>
      <c r="K63" s="36" t="str">
        <f>HLOOKUP(K$1,google_form!$1:$183,$A63,FALSE)</f>
        <v>yearly</v>
      </c>
      <c r="L63" s="36" t="str">
        <f t="shared" ref="L63:M63" si="246">if(ISBLANK($C63), "", L$1)</f>
        <v>fa-solid fa-ruler-horizontal</v>
      </c>
      <c r="M63" s="36" t="str">
        <f t="shared" si="246"/>
        <v>Spatial resolution</v>
      </c>
      <c r="N63" s="41" t="str">
        <f>HLOOKUP(N$1,google_form!$1:$183,$A63,FALSE)</f>
        <v/>
      </c>
      <c r="O63" s="36" t="str">
        <f t="shared" ref="O63:P63" si="247">if(ISBLANK($C63), "", O$1)</f>
        <v>fa-solid fa-calendar-days</v>
      </c>
      <c r="P63" s="36" t="str">
        <f t="shared" si="247"/>
        <v>Period</v>
      </c>
      <c r="Q63" s="36" t="str">
        <f>HLOOKUP(Q$1,google_form!$1:$183,$A63,FALSE)</f>
        <v>1850-2100</v>
      </c>
      <c r="R63" s="36" t="str">
        <f>HLOOKUP(R$1,google_form!$1:$183,$A63,FALSE)</f>
        <v>A constrained estimate of the ocean carbon sink based on the simulated carbon sink from CMIP5 and CMIP6 models and constrained with observations of the ocean physics and carbonate chemistry</v>
      </c>
      <c r="S63" s="36" t="str">
        <f>HLOOKUP(S$1,google_form!$1:$183,$A63,FALSE)</f>
        <v>Terhaar et al. (2021)</v>
      </c>
      <c r="T63" s="40" t="str">
        <f>HLOOKUP(T$1,google_form!$1:$183,$A63,FALSE)</f>
        <v>https://doi.org/10.1126/sciadv.abd5964</v>
      </c>
      <c r="U63" s="40" t="str">
        <f>HLOOKUP(U$1,google_form!$1:$183,$A63,FALSE)</f>
        <v>https://www.seanoe.org/data/00927/103938/</v>
      </c>
      <c r="V63" s="36" t="str">
        <f t="shared" si="10"/>
        <v>Description</v>
      </c>
      <c r="W63" s="36" t="str">
        <f>HLOOKUP(W$1,google_form!$1:$183,$A63,FALSE)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HLOOKUP(Y$1,google_form!$1:$183,$A63,FALSE)</f>
        <v>Terhaar, Jens, Frölicher, T. L., &amp; Joos, F.: Southern Ocean anthropogenic carbon sink constrained by sea surface salinity, Science Advances, 7(18), https://doi.org/10.1126/sciadv.abd5964, 2021.</v>
      </c>
    </row>
    <row r="64">
      <c r="A64" s="36">
        <v>63.0</v>
      </c>
      <c r="B64" s="36" t="str">
        <f>HLOOKUP(B$1,google_form!$1:$183,$A64,FALSE)</f>
        <v>Model-based</v>
      </c>
      <c r="C64" s="36" t="str">
        <f>HLOOKUP(C$1,google_form!$1:$183,$A64,FALSE)</f>
        <v>Simulated and Constrained Global Ocean Carbon Sink</v>
      </c>
      <c r="D64" s="36" t="str">
        <f>HLOOKUP(D$1,google_form!$1:$183,$A64,FALSE)</f>
        <v>Terhaar et al., (2022)</v>
      </c>
      <c r="E64" s="40" t="str">
        <f>HLOOKUP(E$1,google_form!$1:$183,$A64,FALSE)</f>
        <v>https://www.seanoe.org/data/00927/103934/illustration.gif</v>
      </c>
      <c r="F64" s="36" t="str">
        <f t="shared" ref="F64:G64" si="248">if(ISBLANK($C64), "", F$1)</f>
        <v>fa-solid fa-globe</v>
      </c>
      <c r="G64" s="36" t="str">
        <f t="shared" si="248"/>
        <v>Spatial domains</v>
      </c>
      <c r="H64" s="36" t="str">
        <f>HLOOKUP(H$1,google_form!$1:$183,$A64,FALSE)</f>
        <v>Open ocean</v>
      </c>
      <c r="I64" s="36" t="str">
        <f t="shared" ref="I64:J64" si="249">if(ISBLANK($C64), "", I$1)</f>
        <v>fa-solid fa-hourglass-start</v>
      </c>
      <c r="J64" s="36" t="str">
        <f t="shared" si="249"/>
        <v>Temporal resolution</v>
      </c>
      <c r="K64" s="36" t="str">
        <f>HLOOKUP(K$1,google_form!$1:$183,$A64,FALSE)</f>
        <v>yearly</v>
      </c>
      <c r="L64" s="36" t="str">
        <f t="shared" ref="L64:M64" si="250">if(ISBLANK($C64), "", L$1)</f>
        <v>fa-solid fa-ruler-horizontal</v>
      </c>
      <c r="M64" s="36" t="str">
        <f t="shared" si="250"/>
        <v>Spatial resolution</v>
      </c>
      <c r="N64" s="41" t="str">
        <f>HLOOKUP(N$1,google_form!$1:$183,$A64,FALSE)</f>
        <v/>
      </c>
      <c r="O64" s="36" t="str">
        <f t="shared" ref="O64:P64" si="251">if(ISBLANK($C64), "", O$1)</f>
        <v>fa-solid fa-calendar-days</v>
      </c>
      <c r="P64" s="36" t="str">
        <f t="shared" si="251"/>
        <v>Period</v>
      </c>
      <c r="Q64" s="36" t="str">
        <f>HLOOKUP(Q$1,google_form!$1:$183,$A64,FALSE)</f>
        <v>1850-2100</v>
      </c>
      <c r="R64" s="36" t="str">
        <f>HLOOKUP(R$1,google_form!$1:$183,$A64,FALSE)</f>
        <v>A constrained estimate of the ocean carbon sink based on the simulated carbon sink from CMIP5 and CMIP6 models and constrained with observations of the ocean physics and carbonate chemistry</v>
      </c>
      <c r="S64" s="36" t="str">
        <f>HLOOKUP(S$1,google_form!$1:$183,$A64,FALSE)</f>
        <v>Terhaar et al., (2022)</v>
      </c>
      <c r="T64" s="40" t="str">
        <f>HLOOKUP(T$1,google_form!$1:$183,$A64,FALSE)</f>
        <v>https://doi.org/10.5194/bg-19-4431-2022</v>
      </c>
      <c r="U64" s="40" t="str">
        <f>HLOOKUP(U$1,google_form!$1:$183,$A64,FALSE)</f>
        <v>https://www.seanoe.org/data/00927/103934</v>
      </c>
      <c r="V64" s="36" t="str">
        <f t="shared" si="10"/>
        <v>Description</v>
      </c>
      <c r="W64" s="36" t="str">
        <f>HLOOKUP(W$1,google_form!$1:$183,$A64,FALSE)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4" s="36" t="str">
        <f t="shared" si="11"/>
        <v>Reference</v>
      </c>
      <c r="Y64" s="36" t="str">
        <f>HLOOKUP(Y$1,google_form!$1:$183,$A64,FALSE)</f>
        <v>Terhaar, J., Frölicher, T. L., and Joos, F.: Observation-constrained estimates of the Global Ocean Carbon Sink from earth system models, Biogeosciences, 19(18), 4431–4457, https://doi.org/10.5194/bg-19-4431-2022, 2022.</v>
      </c>
    </row>
    <row r="65">
      <c r="A65" s="36">
        <v>64.0</v>
      </c>
      <c r="B65" s="36" t="str">
        <f>HLOOKUP(B$1,google_form!$1:$183,$A65,FALSE)</f>
        <v>Model-based</v>
      </c>
      <c r="C65" s="36" t="str">
        <f>HLOOKUP(C$1,google_form!$1:$183,$A65,FALSE)</f>
        <v>Composite model-based estimate of the ocean carbon sink from 1959 to 2022</v>
      </c>
      <c r="D65" s="36" t="str">
        <f>HLOOKUP(D$1,google_form!$1:$183,$A65,FALSE)</f>
        <v>Terhaar (2025)</v>
      </c>
      <c r="E65" s="40" t="str">
        <f>HLOOKUP(E$1,google_form!$1:$183,$A65,FALSE)</f>
        <v>https://upload.wikimedia.org/wikipedia/commons/thumb/9/9c/Ocean_water.jpg/960px-Ocean_water.jpg</v>
      </c>
      <c r="F65" s="36" t="str">
        <f t="shared" ref="F65:G65" si="252">if(ISBLANK($C65), "", F$1)</f>
        <v>fa-solid fa-globe</v>
      </c>
      <c r="G65" s="36" t="str">
        <f t="shared" si="252"/>
        <v>Spatial domains</v>
      </c>
      <c r="H65" s="36" t="str">
        <f>HLOOKUP(H$1,google_form!$1:$183,$A65,FALSE)</f>
        <v>Open ocean</v>
      </c>
      <c r="I65" s="36" t="str">
        <f t="shared" ref="I65:J65" si="253">if(ISBLANK($C65), "", I$1)</f>
        <v>fa-solid fa-hourglass-start</v>
      </c>
      <c r="J65" s="36" t="str">
        <f t="shared" si="253"/>
        <v>Temporal resolution</v>
      </c>
      <c r="K65" s="36" t="str">
        <f>HLOOKUP(K$1,google_form!$1:$183,$A65,FALSE)</f>
        <v>yearly</v>
      </c>
      <c r="L65" s="36" t="str">
        <f t="shared" ref="L65:M65" si="254">if(ISBLANK($C65), "", L$1)</f>
        <v>fa-solid fa-ruler-horizontal</v>
      </c>
      <c r="M65" s="36" t="str">
        <f t="shared" si="254"/>
        <v>Spatial resolution</v>
      </c>
      <c r="N65" s="41" t="str">
        <f>HLOOKUP(N$1,google_form!$1:$183,$A65,FALSE)</f>
        <v/>
      </c>
      <c r="O65" s="36" t="str">
        <f t="shared" ref="O65:P65" si="255">if(ISBLANK($C65), "", O$1)</f>
        <v>fa-solid fa-calendar-days</v>
      </c>
      <c r="P65" s="36" t="str">
        <f t="shared" si="255"/>
        <v>Period</v>
      </c>
      <c r="Q65" s="36" t="str">
        <f>HLOOKUP(Q$1,google_form!$1:$183,$A65,FALSE)</f>
        <v>1959-2022</v>
      </c>
      <c r="R65" s="36" t="str">
        <f>HLOOKUP(R$1,google_form!$1:$183,$A65,FALSE)</f>
        <v>A model-based estimate of the ocean carbon sink combining the respective strengths of hindcast simulations and simulations by coupled earth system models</v>
      </c>
      <c r="S65" s="36" t="str">
        <f>HLOOKUP(S$1,google_form!$1:$183,$A65,FALSE)</f>
        <v>Terhaar (2025)</v>
      </c>
      <c r="T65" s="40" t="str">
        <f>HLOOKUP(T$1,google_form!$1:$183,$A65,FALSE)</f>
        <v>https://doi.org/10.5194/bg-22-1631-2025</v>
      </c>
      <c r="U65" s="40" t="str">
        <f>HLOOKUP(U$1,google_form!$1:$183,$A65,FALSE)</f>
        <v>https://doi.org/10.5194/bg-22-1631-2025</v>
      </c>
      <c r="V65" s="36" t="str">
        <f t="shared" si="10"/>
        <v>Description</v>
      </c>
      <c r="W65" s="36" t="str">
        <f>HLOOKUP(W$1,google_form!$1:$183,$A65,FALSE)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5" s="36" t="str">
        <f t="shared" si="11"/>
        <v>Reference</v>
      </c>
      <c r="Y65" s="36" t="str">
        <f>HLOOKUP(Y$1,google_form!$1:$183,$A65,FALSE)</f>
        <v>Terhaar, J.: Composite model-based estimate of the ocean carbon sink from 1959 to 2022, Biogeosciences, 22, 1631–1649, https://doi.org/10.5194/bg-22-1631-2025, 2025.</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
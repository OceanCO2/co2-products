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<sst xmlns="http://schemas.openxmlformats.org/spreadsheetml/2006/main" count="1095" uniqueCount="772">
  <si>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</si>
  <si>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</si>
  <si>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</si>
  <si>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</si>
  <si>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</si>
  <si>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</si>
  <si>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</si>
  <si>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</si>
  <si>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</si>
  <si>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</si>
  <si>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</si>
  <si>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</si>
  <si>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</si>
  <si>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</si>
  <si>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</si>
  <si>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</si>
  <si>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</si>
  <si>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</si>
  <si>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</si>
  <si>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</si>
  <si>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</si>
  <si>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</si>
  <si>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</si>
  <si>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</si>
  <si>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</si>
  <si>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</si>
  <si>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</si>
  <si>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</si>
  <si>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</si>
  <si>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</si>
  <si>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</si>
  <si>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</si>
  <si>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</si>
  <si>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</si>
  <si>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</si>
  <si>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</si>
  <si>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</si>
  <si>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</si>
  <si>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</si>
  <si>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</si>
  <si>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</si>
  <si>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</si>
  <si>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</si>
  <si>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</si>
  <si>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</si>
  <si>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</si>
  <si>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</si>
  <si>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</si>
  <si>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</si>
  <si>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</si>
  <si>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</si>
  <si>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</si>
  <si>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</si>
  <si>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</si>
  <si>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</si>
  <si>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</si>
  <si>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</si>
  <si>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</si>
  <si>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</si>
  <si>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</si>
  <si>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</si>
  <si>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</si>
  <si>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</si>
  <si>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</si>
  <si>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</si>
  <si>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</si>
  <si>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</si>
  <si>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</si>
  <si>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</si>
  <si>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</si>
  <si>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</si>
  <si>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</si>
  <si>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</si>
  <si>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</si>
  <si>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</si>
  <si>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</si>
  <si>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</si>
  <si>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</si>
  <si>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</si>
  <si>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</si>
  <si>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</si>
  <si>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</si>
  <si>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</si>
  <si>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</si>
  <si>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</si>
  <si>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</si>
  <si>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</si>
  <si>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</si>
  <si>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</si>
  <si>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</si>
  <si>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</si>
  <si>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</si>
  <si>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</si>
  <si>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</si>
  <si>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</si>
  <si>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</si>
  <si>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</si>
  <si>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</si>
  <si>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</si>
  <si>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</si>
  <si>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</si>
  <si>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</si>
  <si>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</si>
  <si>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</si>
  <si>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</si>
  <si>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</si>
  <si>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</si>
  <si>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</si>
  <si>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</si>
  <si>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</si>
  <si>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</si>
  <si>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</si>
  <si>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</si>
  <si>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</si>
  <si>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</si>
  <si>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</si>
  <si>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</si>
  <si>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</si>
  <si>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</si>
  <si>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</si>
  <si>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</si>
  <si>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</si>
  <si>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</si>
  <si>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</si>
  <si>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</si>
  <si>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</si>
  <si>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</si>
  <si>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</si>
  <si>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</si>
  <si>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</si>
  <si>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</si>
  <si>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</si>
  <si>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</si>
  <si>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</si>
  <si>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</si>
  <si>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</si>
  <si>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</si>
  <si>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</si>
  <si>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</si>
  <si>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</si>
  <si>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</si>
  <si>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</si>
  <si>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</si>
  <si>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</si>
  <si>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</si>
  <si>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</si>
  <si>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</si>
  <si>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</si>
  <si>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</si>
  <si>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</si>
  <si>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</si>
  <si>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</si>
  <si>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</si>
  <si>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</si>
  <si>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</si>
  <si>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</si>
  <si>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</si>
  <si>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</si>
  <si>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</si>
  <si>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</si>
  <si>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</si>
  <si>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</si>
  <si>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</si>
  <si>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</si>
  <si>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</si>
  <si>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</si>
  <si>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</si>
  <si>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</si>
  <si>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</si>
  <si>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</si>
  <si>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</si>
  <si>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</si>
  <si>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</si>
  <si>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</si>
  <si>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</si>
  <si>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</si>
  <si>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</si>
  <si>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</si>
  <si>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</si>
  <si>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</si>
  <si>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</si>
  <si>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</si>
  <si>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</si>
  <si>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</si>
  <si>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</si>
  <si>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</si>
  <si>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</si>
  <si>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</si>
  <si>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</si>
  <si>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</si>
  <si>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</si>
  <si>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</si>
  <si>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</si>
  <si>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</si>
  <si>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</si>
  <si>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</si>
  <si>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</si>
  <si>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</si>
  <si>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</si>
  <si>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</si>
  <si>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</si>
  <si>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</si>
  <si>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</si>
  <si>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</si>
  <si>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</si>
  <si>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</si>
  <si>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</si>
  <si>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</si>
  <si>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</si>
  <si>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</si>
  <si>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</si>
  <si>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</si>
  <si>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</si>
  <si>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</si>
  <si>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</si>
  <si>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</si>
  <si>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</si>
  <si>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</si>
  <si>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</si>
  <si>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</si>
  <si>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</si>
  <si>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</si>
  <si>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</si>
  <si>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</si>
  <si>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</si>
  <si>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</si>
  <si>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</si>
  <si>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</si>
  <si>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</si>
  <si>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</si>
  <si>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</si>
  <si>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</si>
  <si>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</si>
  <si>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</si>
  <si>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</si>
  <si>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</si>
  <si>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</si>
  <si>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</si>
  <si>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</si>
  <si>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</si>
  <si>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</si>
  <si>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</si>
  <si>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</si>
  <si>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</si>
  <si>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</si>
  <si>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</si>
  <si>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</si>
  <si>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</si>
  <si>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</si>
  <si>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</si>
  <si>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</si>
  <si>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</si>
  <si>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</si>
  <si>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</si>
  <si>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</si>
  <si>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</si>
  <si>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</si>
  <si>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</si>
  <si>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</si>
  <si>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</si>
  <si>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</si>
  <si>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</si>
  <si>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</si>
  <si>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</si>
  <si>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</si>
  <si>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</si>
  <si>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</si>
  <si>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</si>
  <si>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</si>
  <si>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</si>
  <si>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</si>
  <si>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</si>
  <si>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</si>
  <si>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</si>
  <si>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</si>
  <si>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</si>
  <si>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</si>
  <si>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</si>
  <si>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</si>
  <si>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</si>
  <si>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</si>
  <si>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</si>
  <si>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</si>
  <si>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</si>
  <si>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</si>
  <si>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</si>
  <si>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</si>
  <si>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</si>
  <si>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</si>
  <si>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</si>
  <si>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</si>
  <si>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</si>
  <si>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</si>
  <si>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</si>
  <si>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</si>
  <si>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</si>
  <si>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</si>
  <si>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</si>
  <si>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</si>
  <si>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</si>
  <si>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</si>
  <si>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</si>
  <si>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</si>
  <si>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</si>
  <si>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</si>
  <si>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</si>
  <si>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</si>
  <si>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</si>
  <si>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</si>
  <si>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</si>
  <si>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</si>
  <si>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</si>
  <si>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</si>
  <si>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</si>
  <si>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</si>
  <si>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</si>
  <si>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</si>
  <si>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</si>
  <si>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</si>
  <si>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</si>
  <si>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</si>
  <si>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</si>
  <si>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</si>
  <si>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</si>
  <si>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</si>
  <si>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https://agupubs.onlinelibrary.wiley.com/cms/asset/5a2e5698-13ed-46e3-8271-d27e47d72dbc/jame21511-fig-0001-m.png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</si>
  <si>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</si>
  <si>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</si>
  <si>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</si>
  <si>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</si>
  <si>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</si>
  <si>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</si>
  <si>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</si>
  <si>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</si>
  <si>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</si>
  <si>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</si>
  <si>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</si>
  <si>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</si>
  <si>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</si>
  <si>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</si>
  <si>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</si>
  <si>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</si>
  <si>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</si>
  <si>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</si>
  <si>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</si>
  <si>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</si>
  <si>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</si>
  <si>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</si>
  <si>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</si>
  <si>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</si>
  <si>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</si>
  <si>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</si>
  <si>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</si>
  <si>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</si>
  <si>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</si>
  <si>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</si>
  <si>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</si>
  <si>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</si>
  <si>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</si>
  <si>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</si>
  <si>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</si>
  <si>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</si>
  <si>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</si>
  <si>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</si>
  <si>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</si>
  <si>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</si>
  <si>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</si>
  <si>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</si>
  <si>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</si>
  <si>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</si>
  <si>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</si>
  <si>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</si>
  <si>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</si>
  <si>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</si>
  <si>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</si>
  <si>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</si>
  <si>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</si>
  <si>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</si>
  <si>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</si>
  <si>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</si>
  <si>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</si>
  <si>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</si>
  <si>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</si>
  <si>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</si>
  <si>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</si>
  <si>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</si>
  <si>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</si>
  <si>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</si>
  <si>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</si>
  <si>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</si>
  <si>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</si>
  <si>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</si>
  <si>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</si>
  <si>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</si>
  <si>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</si>
  <si>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</si>
  <si>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</si>
  <si>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</si>
  <si>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</si>
  <si>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</si>
  <si>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</si>
  <si>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</si>
  <si>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</si>
  <si>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</si>
  <si>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</si>
  <si>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</si>
  <si>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</si>
  <si>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</si>
  <si>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</si>
  <si>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</si>
  <si>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</si>
  <si>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</si>
  <si>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</si>
  <si>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</si>
  <si>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</si>
  <si>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</si>
  <si>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</si>
  <si>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</si>
  <si>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</si>
  <si>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</si>
  <si>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</si>
  <si>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</si>
  <si>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</si>
  <si>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</si>
  <si>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</si>
  <si>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</si>
  <si>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</si>
  <si>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</si>
  <si>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</si>
  <si>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</si>
  <si>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</si>
  <si>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</si>
  <si>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</si>
  <si>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</si>
  <si>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</si>
  <si>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</si>
  <si>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</si>
  <si>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</si>
  <si>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</si>
  <si>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</si>
  <si>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</si>
  <si>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</si>
  <si>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</si>
  <si>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</si>
  <si>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</si>
  <si>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</si>
  <si>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</si>
  <si>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</si>
  <si>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</si>
  <si>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</si>
  <si>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</si>
  <si>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</si>
  <si>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</si>
  <si>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</si>
  <si>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</si>
  <si>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</si>
  <si>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</si>
  <si>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</si>
  <si>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</si>
  <si>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</si>
  <si>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</si>
  <si>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</si>
  <si>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</si>
  <si>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</si>
  <si>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</si>
  <si>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</si>
  <si>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</si>
  <si>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</si>
  <si>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</si>
  <si>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</si>
  <si>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</si>
  <si>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</si>
  <si>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</si>
  <si>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</si>
  <si>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</si>
  <si>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</si>
  <si>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</si>
  <si>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</si>
  <si>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</si>
  <si>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</si>
  <si>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</si>
  <si>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</si>
  <si>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12-month climatology referenced to 2013; linear trend 2003–2021</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</si>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</sst>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agupubs.onlinelibrary.wiley.com/cms/asset/01d62381-cb8c-4b6f-9cbc-70946ed98dff/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agupubs.onlinelibrary.wiley.com/cms/asset/a70dc130-3967-4e0c-bab1-fa5967af0a63/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www.pnas.org/cms/10.1073/pnas.1900371116/asset/284a7ec7-9bf5-4d3a-a5ba-86242a3e1b26/assets/graphic/pnas.1900371116fig01.jpe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agupubs.onlinelibrary.wiley.com/cms/asset/7decc330-7468-429c-bae9-ac51b085be30/gbc21584-fig-0007-m.jpg" TargetMode="External"/><Relationship Id="rId88" Type="http://schemas.openxmlformats.org/officeDocument/2006/relationships/hyperlink" Target="https://agupubs.onlinelibrary.wiley.com/cms/asset/5a2e5698-13ed-46e3-8271-d27e47d72dbc/jame21511-fig-0001-m.pn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agupubs.onlinelibrary.wiley.com/cms/asset/1787fd59-795c-4979-9565-6e7270b0fdbf/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agupubs.onlinelibrary.wiley.com/cms/asset/c4abf6e9-b8d0-4d90-bb8c-4cc9ac68fe82/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agupubs.onlinelibrary.wiley.com/cms/asset/f0d6e78d-0937-4fb5-9079-da046365f27b/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agupubs.onlinelibrary.wiley.com/cms/asset/9184aab2-af20-4a63-9a8f-d0a99a4602bc/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t="str">
        <f t="shared" ref="V2:V76" si="2">getImageMegabytesFromUrl(F2)</f>
        <v>Loading...</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t="str">
        <f t="shared" si="1"/>
        <v>#ERROR!</v>
      </c>
      <c r="V3" s="13" t="str">
        <f t="shared" si="2"/>
        <v>#ERROR!</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t="str">
        <f t="shared" si="2"/>
        <v>Loading...</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t="str">
        <f t="shared" si="1"/>
        <v>Loading...</v>
      </c>
      <c r="V5" s="17" t="str">
        <f t="shared" si="2"/>
        <v>Loading...</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Loading...</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t="str">
        <f t="shared" si="1"/>
        <v>Loading...</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t="str">
        <f t="shared" si="1"/>
        <v>Loading...</v>
      </c>
      <c r="V8" s="13" t="str">
        <f t="shared" si="2"/>
        <v>Loading...</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t="str">
        <f t="shared" si="2"/>
        <v>Loading...</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t="str">
        <f t="shared" si="1"/>
        <v>#ERROR!</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t="str">
        <f t="shared" si="1"/>
        <v>#ERROR!</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t="str">
        <f t="shared" si="1"/>
        <v>Loading...</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t="str">
        <f t="shared" si="1"/>
        <v>#ERROR!</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t="str">
        <f t="shared" si="1"/>
        <v>Loading...</v>
      </c>
      <c r="V15" s="17" t="str">
        <f t="shared" si="2"/>
        <v>Loading...</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t="str">
        <f t="shared" si="1"/>
        <v>Loading...</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t="str">
        <f t="shared" si="1"/>
        <v>Loading...</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f t="shared" si="1"/>
        <v>302</v>
      </c>
      <c r="V20" s="17">
        <f t="shared" si="2"/>
        <v>0.22</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t="str">
        <f t="shared" si="1"/>
        <v>Loading...</v>
      </c>
      <c r="V21" s="17" t="str">
        <f t="shared" si="2"/>
        <v>Loading...</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f t="shared" si="1"/>
        <v>302</v>
      </c>
      <c r="V22" s="17">
        <f t="shared" si="2"/>
        <v>0.05</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f t="shared" si="1"/>
        <v>200</v>
      </c>
      <c r="V23" s="17" t="str">
        <f t="shared" si="2"/>
        <v>Loading...</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t="str">
        <f t="shared" si="1"/>
        <v>#ERROR!</v>
      </c>
      <c r="V24" s="13">
        <f t="shared" si="2"/>
        <v>0.05</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f t="shared" si="1"/>
        <v>302</v>
      </c>
      <c r="V25" s="17" t="str">
        <f t="shared" si="2"/>
        <v>Loading...</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t="str">
        <f t="shared" si="1"/>
        <v>Loading...</v>
      </c>
      <c r="V26" s="13" t="str">
        <f t="shared" si="2"/>
        <v>Loading...</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t="str">
        <f t="shared" si="1"/>
        <v>Loading...</v>
      </c>
      <c r="V27" s="13" t="str">
        <f t="shared" si="2"/>
        <v>Loading...</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f t="shared" si="1"/>
        <v>302</v>
      </c>
      <c r="V28" s="17" t="str">
        <f t="shared" si="2"/>
        <v>Loading...</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t="str">
        <f t="shared" si="1"/>
        <v>#ERROR!</v>
      </c>
      <c r="V29" s="13">
        <f t="shared" si="2"/>
        <v>0.1</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f t="shared" si="1"/>
        <v>200</v>
      </c>
      <c r="V30" s="13" t="str">
        <f t="shared" si="2"/>
        <v>Loading...</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f t="shared" si="1"/>
        <v>200</v>
      </c>
      <c r="V31" s="17" t="str">
        <f t="shared" si="2"/>
        <v>Loading...</v>
      </c>
    </row>
    <row r="32" ht="22.5" customHeight="1">
      <c r="A32" s="6">
        <v>45973.95894170139</v>
      </c>
      <c r="B32" s="7" t="s">
        <v>262</v>
      </c>
      <c r="C32" s="7" t="s">
        <v>331</v>
      </c>
      <c r="D32" s="7" t="s">
        <v>332</v>
      </c>
      <c r="E32" s="7" t="s">
        <v>333</v>
      </c>
      <c r="F32" s="10" t="s">
        <v>334</v>
      </c>
      <c r="G32" s="10" t="s">
        <v>335</v>
      </c>
      <c r="H32" s="10" t="s">
        <v>336</v>
      </c>
      <c r="I32" s="7" t="s">
        <v>269</v>
      </c>
      <c r="J32" s="7" t="s">
        <v>203</v>
      </c>
      <c r="K32" s="7" t="s">
        <v>191</v>
      </c>
      <c r="L32" s="15" t="s">
        <v>337</v>
      </c>
      <c r="N32" s="7" t="s">
        <v>338</v>
      </c>
      <c r="O32" s="7" t="s">
        <v>339</v>
      </c>
      <c r="P32" s="7" t="s">
        <v>273</v>
      </c>
      <c r="U32" s="17">
        <f t="shared" si="1"/>
        <v>200</v>
      </c>
      <c r="V32" s="17" t="str">
        <f t="shared" si="2"/>
        <v>Loading...</v>
      </c>
    </row>
    <row r="33" ht="22.5" customHeight="1">
      <c r="A33" s="6">
        <v>45973.96275752315</v>
      </c>
      <c r="B33" s="7" t="s">
        <v>262</v>
      </c>
      <c r="C33" s="7" t="s">
        <v>340</v>
      </c>
      <c r="D33" s="7" t="s">
        <v>341</v>
      </c>
      <c r="E33" s="7" t="s">
        <v>342</v>
      </c>
      <c r="F33" s="10" t="s">
        <v>343</v>
      </c>
      <c r="G33" s="10" t="s">
        <v>344</v>
      </c>
      <c r="H33" s="10" t="s">
        <v>345</v>
      </c>
      <c r="I33" s="7" t="s">
        <v>269</v>
      </c>
      <c r="J33" s="7" t="s">
        <v>203</v>
      </c>
      <c r="K33" s="7" t="s">
        <v>191</v>
      </c>
      <c r="L33" s="15" t="s">
        <v>346</v>
      </c>
      <c r="N33" s="7" t="s">
        <v>347</v>
      </c>
      <c r="O33" s="7" t="s">
        <v>348</v>
      </c>
      <c r="P33" s="7" t="s">
        <v>273</v>
      </c>
      <c r="U33" s="17" t="str">
        <f t="shared" si="1"/>
        <v>Loading...</v>
      </c>
      <c r="V33" s="17">
        <f t="shared" si="2"/>
        <v>0.45</v>
      </c>
    </row>
    <row r="34" ht="22.5" customHeight="1">
      <c r="A34" s="6">
        <v>45965.777433888885</v>
      </c>
      <c r="B34" s="7" t="s">
        <v>262</v>
      </c>
      <c r="C34" s="7" t="s">
        <v>349</v>
      </c>
      <c r="D34" s="7" t="s">
        <v>350</v>
      </c>
      <c r="E34" s="7" t="s">
        <v>351</v>
      </c>
      <c r="F34" s="10" t="s">
        <v>352</v>
      </c>
      <c r="G34" s="10" t="s">
        <v>353</v>
      </c>
      <c r="H34" s="10" t="s">
        <v>354</v>
      </c>
      <c r="I34" s="7" t="s">
        <v>269</v>
      </c>
      <c r="J34" s="7" t="s">
        <v>281</v>
      </c>
      <c r="K34" s="7" t="s">
        <v>31</v>
      </c>
      <c r="L34" s="15" t="s">
        <v>355</v>
      </c>
      <c r="N34" s="7" t="s">
        <v>356</v>
      </c>
      <c r="O34" s="7" t="s">
        <v>357</v>
      </c>
      <c r="P34" s="7" t="s">
        <v>96</v>
      </c>
      <c r="Q34" s="12"/>
      <c r="R34" s="12"/>
      <c r="S34" s="12"/>
      <c r="U34" s="17">
        <f t="shared" si="1"/>
        <v>200</v>
      </c>
      <c r="V34" s="17">
        <f t="shared" si="2"/>
        <v>0.08</v>
      </c>
      <c r="W34" s="21"/>
    </row>
    <row r="35" ht="22.5" customHeight="1">
      <c r="A35" s="6">
        <v>45965.78585724537</v>
      </c>
      <c r="B35" s="7" t="s">
        <v>262</v>
      </c>
      <c r="C35" s="7" t="s">
        <v>358</v>
      </c>
      <c r="D35" s="7" t="s">
        <v>359</v>
      </c>
      <c r="E35" s="7" t="s">
        <v>360</v>
      </c>
      <c r="F35" s="10" t="s">
        <v>361</v>
      </c>
      <c r="G35" s="10" t="s">
        <v>362</v>
      </c>
      <c r="H35" s="16" t="s">
        <v>363</v>
      </c>
      <c r="I35" s="7" t="s">
        <v>280</v>
      </c>
      <c r="J35" s="7" t="s">
        <v>281</v>
      </c>
      <c r="K35" s="7" t="s">
        <v>31</v>
      </c>
      <c r="L35" s="15" t="s">
        <v>364</v>
      </c>
      <c r="N35" s="7" t="s">
        <v>365</v>
      </c>
      <c r="O35" s="7" t="s">
        <v>366</v>
      </c>
      <c r="P35" s="7" t="s">
        <v>96</v>
      </c>
      <c r="Q35" s="12"/>
      <c r="R35" s="12"/>
      <c r="S35" s="12"/>
      <c r="U35" s="17">
        <f t="shared" si="1"/>
        <v>302</v>
      </c>
      <c r="V35" s="17">
        <f t="shared" si="2"/>
        <v>0.09</v>
      </c>
      <c r="W35" s="21"/>
    </row>
    <row r="36" ht="22.5" customHeight="1">
      <c r="A36" s="6">
        <v>46031.76585737268</v>
      </c>
      <c r="B36" s="7" t="s">
        <v>262</v>
      </c>
      <c r="C36" s="7" t="s">
        <v>367</v>
      </c>
      <c r="D36" s="7" t="s">
        <v>368</v>
      </c>
      <c r="E36" s="7" t="s">
        <v>369</v>
      </c>
      <c r="F36" s="10" t="s">
        <v>370</v>
      </c>
      <c r="G36" s="10" t="s">
        <v>371</v>
      </c>
      <c r="H36" s="10" t="s">
        <v>372</v>
      </c>
      <c r="I36" s="7" t="s">
        <v>373</v>
      </c>
      <c r="J36" s="7" t="s">
        <v>374</v>
      </c>
      <c r="K36" s="7" t="s">
        <v>191</v>
      </c>
      <c r="L36" s="15" t="s">
        <v>375</v>
      </c>
      <c r="N36" s="7" t="s">
        <v>376</v>
      </c>
      <c r="O36" s="7" t="s">
        <v>377</v>
      </c>
      <c r="P36" s="7" t="s">
        <v>96</v>
      </c>
      <c r="U36" s="17" t="str">
        <f t="shared" si="1"/>
        <v>Loading...</v>
      </c>
      <c r="V36" s="17">
        <f t="shared" si="2"/>
        <v>0.07</v>
      </c>
    </row>
    <row r="37" ht="22.5" customHeight="1">
      <c r="A37" s="6">
        <v>45965.55325196759</v>
      </c>
      <c r="B37" s="7" t="s">
        <v>262</v>
      </c>
      <c r="C37" s="7" t="s">
        <v>378</v>
      </c>
      <c r="D37" s="7" t="s">
        <v>379</v>
      </c>
      <c r="E37" s="7" t="s">
        <v>380</v>
      </c>
      <c r="F37" s="18" t="s">
        <v>381</v>
      </c>
      <c r="G37" s="26" t="s">
        <v>382</v>
      </c>
      <c r="H37" s="10" t="s">
        <v>383</v>
      </c>
      <c r="I37" s="7" t="s">
        <v>269</v>
      </c>
      <c r="J37" s="7" t="s">
        <v>203</v>
      </c>
      <c r="K37" s="7" t="s">
        <v>191</v>
      </c>
      <c r="L37" s="15" t="s">
        <v>384</v>
      </c>
      <c r="N37" s="7" t="s">
        <v>385</v>
      </c>
      <c r="O37" s="7" t="s">
        <v>386</v>
      </c>
      <c r="P37" s="7" t="s">
        <v>387</v>
      </c>
      <c r="Q37" s="12"/>
      <c r="R37" s="12"/>
      <c r="S37" s="12"/>
      <c r="U37" s="17" t="str">
        <f t="shared" si="1"/>
        <v>Loading...</v>
      </c>
      <c r="V37" s="17">
        <f t="shared" si="2"/>
        <v>0.09</v>
      </c>
      <c r="W37" s="21"/>
    </row>
    <row r="38" ht="22.5" customHeight="1">
      <c r="A38" s="6">
        <v>45968.15562892361</v>
      </c>
      <c r="B38" s="7" t="s">
        <v>262</v>
      </c>
      <c r="C38" s="7" t="s">
        <v>388</v>
      </c>
      <c r="D38" s="7" t="s">
        <v>389</v>
      </c>
      <c r="E38" s="7" t="s">
        <v>390</v>
      </c>
      <c r="F38" s="10" t="s">
        <v>391</v>
      </c>
      <c r="G38" s="10" t="s">
        <v>392</v>
      </c>
      <c r="H38" s="10" t="s">
        <v>393</v>
      </c>
      <c r="I38" s="7" t="s">
        <v>269</v>
      </c>
      <c r="J38" s="7" t="s">
        <v>203</v>
      </c>
      <c r="K38" s="7" t="s">
        <v>42</v>
      </c>
      <c r="L38" s="15" t="s">
        <v>394</v>
      </c>
      <c r="N38" s="7" t="s">
        <v>395</v>
      </c>
      <c r="O38" s="7" t="s">
        <v>396</v>
      </c>
      <c r="P38" s="7" t="s">
        <v>397</v>
      </c>
      <c r="U38" s="17">
        <f t="shared" si="1"/>
        <v>200</v>
      </c>
      <c r="V38" s="17">
        <f t="shared" si="2"/>
        <v>1.06</v>
      </c>
    </row>
    <row r="39" ht="22.5" customHeight="1">
      <c r="A39" s="6">
        <v>45961.95201907407</v>
      </c>
      <c r="B39" s="7" t="s">
        <v>262</v>
      </c>
      <c r="C39" s="8" t="s">
        <v>398</v>
      </c>
      <c r="D39" s="8" t="s">
        <v>399</v>
      </c>
      <c r="E39" s="7" t="s">
        <v>400</v>
      </c>
      <c r="F39" s="10" t="s">
        <v>401</v>
      </c>
      <c r="G39" s="10" t="s">
        <v>402</v>
      </c>
      <c r="H39" s="18" t="s">
        <v>403</v>
      </c>
      <c r="I39" s="8" t="s">
        <v>269</v>
      </c>
      <c r="J39" s="7" t="s">
        <v>203</v>
      </c>
      <c r="K39" s="7" t="s">
        <v>42</v>
      </c>
      <c r="L39" s="7" t="s">
        <v>404</v>
      </c>
      <c r="N39" s="7" t="s">
        <v>405</v>
      </c>
      <c r="O39" s="7" t="s">
        <v>406</v>
      </c>
      <c r="P39" s="7" t="s">
        <v>311</v>
      </c>
      <c r="Q39" s="12"/>
      <c r="R39" s="12"/>
      <c r="S39" s="12"/>
      <c r="U39" s="13" t="str">
        <f t="shared" si="1"/>
        <v>#ERROR!</v>
      </c>
      <c r="V39" s="13" t="str">
        <f t="shared" si="2"/>
        <v>Loading...</v>
      </c>
      <c r="W39" s="13"/>
    </row>
    <row r="40" ht="22.5" customHeight="1">
      <c r="A40" s="6">
        <v>45966.15542136574</v>
      </c>
      <c r="B40" s="7" t="s">
        <v>262</v>
      </c>
      <c r="C40" s="7" t="s">
        <v>407</v>
      </c>
      <c r="D40" s="7" t="s">
        <v>408</v>
      </c>
      <c r="E40" s="7" t="s">
        <v>409</v>
      </c>
      <c r="F40" s="10" t="s">
        <v>410</v>
      </c>
      <c r="G40" s="10" t="s">
        <v>411</v>
      </c>
      <c r="H40" s="16" t="s">
        <v>411</v>
      </c>
      <c r="I40" s="7" t="s">
        <v>269</v>
      </c>
      <c r="J40" s="7" t="s">
        <v>203</v>
      </c>
      <c r="K40" s="7" t="s">
        <v>42</v>
      </c>
      <c r="L40" s="15" t="s">
        <v>412</v>
      </c>
      <c r="N40" s="7" t="s">
        <v>413</v>
      </c>
      <c r="O40" s="7" t="s">
        <v>414</v>
      </c>
      <c r="P40" s="7" t="s">
        <v>415</v>
      </c>
      <c r="U40" s="17">
        <f t="shared" si="1"/>
        <v>301</v>
      </c>
      <c r="V40" s="17" t="str">
        <f t="shared" si="2"/>
        <v>Error fetching image: Timeout: https://appletmsdc.qdio.ac.cn//files/metadata/images/2025-08-14_1955061943601487874/DATA20251000212_11415094_1.jpg</v>
      </c>
      <c r="W40" s="21"/>
    </row>
    <row r="41" ht="22.5" customHeight="1">
      <c r="A41" s="6">
        <v>45962.75772594908</v>
      </c>
      <c r="B41" s="7" t="s">
        <v>262</v>
      </c>
      <c r="C41" s="8" t="s">
        <v>416</v>
      </c>
      <c r="D41" s="8" t="s">
        <v>417</v>
      </c>
      <c r="E41" s="7" t="s">
        <v>418</v>
      </c>
      <c r="F41" s="10" t="s">
        <v>419</v>
      </c>
      <c r="G41" s="10" t="s">
        <v>420</v>
      </c>
      <c r="H41" s="10" t="s">
        <v>421</v>
      </c>
      <c r="I41" s="8" t="s">
        <v>269</v>
      </c>
      <c r="J41" s="7" t="s">
        <v>281</v>
      </c>
      <c r="K41" s="7" t="s">
        <v>42</v>
      </c>
      <c r="L41" s="15" t="s">
        <v>422</v>
      </c>
      <c r="N41" s="7" t="s">
        <v>423</v>
      </c>
      <c r="O41" s="7" t="s">
        <v>424</v>
      </c>
      <c r="P41" s="12"/>
      <c r="Q41" s="12"/>
      <c r="R41" s="12"/>
      <c r="S41" s="12"/>
      <c r="U41" s="13" t="str">
        <f t="shared" si="1"/>
        <v>Loading...</v>
      </c>
      <c r="V41" s="13" t="str">
        <f t="shared" si="2"/>
        <v>#ERROR!</v>
      </c>
      <c r="W41" s="13"/>
    </row>
    <row r="42" ht="22.5" customHeight="1">
      <c r="A42" s="6">
        <v>45966.45460355324</v>
      </c>
      <c r="B42" s="7" t="s">
        <v>262</v>
      </c>
      <c r="C42" s="7" t="s">
        <v>425</v>
      </c>
      <c r="D42" s="7" t="s">
        <v>426</v>
      </c>
      <c r="E42" s="7" t="s">
        <v>427</v>
      </c>
      <c r="F42" s="10" t="s">
        <v>428</v>
      </c>
      <c r="G42" s="10" t="s">
        <v>429</v>
      </c>
      <c r="H42" s="10" t="s">
        <v>430</v>
      </c>
      <c r="I42" s="7" t="s">
        <v>280</v>
      </c>
      <c r="J42" s="7" t="s">
        <v>431</v>
      </c>
      <c r="K42" s="7" t="s">
        <v>231</v>
      </c>
      <c r="L42" s="15" t="s">
        <v>432</v>
      </c>
      <c r="N42" s="7" t="s">
        <v>433</v>
      </c>
      <c r="O42" s="7" t="s">
        <v>434</v>
      </c>
      <c r="P42" s="7" t="s">
        <v>435</v>
      </c>
      <c r="U42" s="17">
        <f t="shared" si="1"/>
        <v>302</v>
      </c>
      <c r="V42" s="17">
        <f t="shared" si="2"/>
        <v>0.57</v>
      </c>
      <c r="W42" s="21"/>
    </row>
    <row r="43" ht="22.5" customHeight="1">
      <c r="A43" s="6">
        <v>45964.89335268519</v>
      </c>
      <c r="B43" s="7" t="s">
        <v>262</v>
      </c>
      <c r="C43" s="7" t="s">
        <v>436</v>
      </c>
      <c r="D43" s="7" t="s">
        <v>437</v>
      </c>
      <c r="E43" s="7" t="s">
        <v>438</v>
      </c>
      <c r="F43" s="10" t="s">
        <v>439</v>
      </c>
      <c r="G43" s="10" t="s">
        <v>440</v>
      </c>
      <c r="H43" s="18" t="s">
        <v>441</v>
      </c>
      <c r="I43" s="7" t="s">
        <v>280</v>
      </c>
      <c r="J43" s="7" t="s">
        <v>203</v>
      </c>
      <c r="K43" s="7" t="s">
        <v>442</v>
      </c>
      <c r="L43" s="15" t="s">
        <v>443</v>
      </c>
      <c r="N43" s="7" t="s">
        <v>444</v>
      </c>
      <c r="O43" s="7" t="s">
        <v>445</v>
      </c>
      <c r="P43" s="12"/>
      <c r="Q43" s="12"/>
      <c r="R43" s="12"/>
      <c r="S43" s="12"/>
      <c r="U43" s="17" t="str">
        <f t="shared" si="1"/>
        <v>#ERROR!</v>
      </c>
      <c r="V43" s="13">
        <f t="shared" si="2"/>
        <v>0.11</v>
      </c>
      <c r="W43" s="13"/>
    </row>
    <row r="44" ht="22.5" customHeight="1">
      <c r="A44" s="6">
        <v>46031.77308885417</v>
      </c>
      <c r="B44" s="7" t="s">
        <v>262</v>
      </c>
      <c r="C44" s="7" t="s">
        <v>446</v>
      </c>
      <c r="D44" s="7" t="s">
        <v>447</v>
      </c>
      <c r="E44" s="7" t="s">
        <v>448</v>
      </c>
      <c r="F44" s="10" t="s">
        <v>449</v>
      </c>
      <c r="G44" s="10" t="s">
        <v>450</v>
      </c>
      <c r="H44" s="10" t="s">
        <v>451</v>
      </c>
      <c r="I44" s="7" t="s">
        <v>280</v>
      </c>
      <c r="J44" s="7" t="s">
        <v>203</v>
      </c>
      <c r="K44" s="7" t="s">
        <v>231</v>
      </c>
      <c r="L44" s="15" t="s">
        <v>452</v>
      </c>
      <c r="N44" s="7" t="s">
        <v>453</v>
      </c>
      <c r="O44" s="7" t="s">
        <v>454</v>
      </c>
      <c r="P44" s="7" t="s">
        <v>96</v>
      </c>
      <c r="U44" s="17" t="str">
        <f t="shared" si="1"/>
        <v>Loading...</v>
      </c>
      <c r="V44" s="17">
        <f t="shared" si="2"/>
        <v>0.05</v>
      </c>
    </row>
    <row r="45" ht="22.5" customHeight="1">
      <c r="A45" s="6">
        <v>45962.76769828703</v>
      </c>
      <c r="B45" s="7" t="s">
        <v>262</v>
      </c>
      <c r="C45" s="8" t="s">
        <v>455</v>
      </c>
      <c r="D45" s="8" t="s">
        <v>456</v>
      </c>
      <c r="E45" s="7" t="s">
        <v>457</v>
      </c>
      <c r="F45" s="10" t="s">
        <v>458</v>
      </c>
      <c r="G45" s="10" t="s">
        <v>459</v>
      </c>
      <c r="H45" s="18" t="s">
        <v>460</v>
      </c>
      <c r="I45" s="8" t="s">
        <v>269</v>
      </c>
      <c r="J45" s="7" t="s">
        <v>281</v>
      </c>
      <c r="K45" s="7" t="s">
        <v>461</v>
      </c>
      <c r="L45" s="15" t="s">
        <v>462</v>
      </c>
      <c r="N45" s="7" t="s">
        <v>463</v>
      </c>
      <c r="O45" s="7" t="s">
        <v>464</v>
      </c>
      <c r="P45" s="12"/>
      <c r="Q45" s="12"/>
      <c r="R45" s="12"/>
      <c r="S45" s="12"/>
      <c r="U45" s="13" t="str">
        <f t="shared" si="1"/>
        <v>Loading...</v>
      </c>
      <c r="V45" s="13">
        <f t="shared" si="2"/>
        <v>0.08</v>
      </c>
      <c r="W45" s="13"/>
    </row>
    <row r="46" ht="22.5" customHeight="1">
      <c r="A46" s="6">
        <v>46031.782541354165</v>
      </c>
      <c r="B46" s="7" t="s">
        <v>262</v>
      </c>
      <c r="C46" s="7" t="s">
        <v>465</v>
      </c>
      <c r="D46" s="7" t="s">
        <v>466</v>
      </c>
      <c r="E46" s="7" t="s">
        <v>467</v>
      </c>
      <c r="F46" s="10" t="s">
        <v>468</v>
      </c>
      <c r="G46" s="10" t="s">
        <v>469</v>
      </c>
      <c r="H46" s="10" t="s">
        <v>470</v>
      </c>
      <c r="I46" s="7" t="s">
        <v>471</v>
      </c>
      <c r="J46" s="7" t="s">
        <v>203</v>
      </c>
      <c r="K46" s="7" t="s">
        <v>472</v>
      </c>
      <c r="L46" s="15" t="s">
        <v>473</v>
      </c>
      <c r="N46" s="18" t="s">
        <v>468</v>
      </c>
      <c r="O46" s="7" t="s">
        <v>474</v>
      </c>
      <c r="P46" s="7" t="s">
        <v>96</v>
      </c>
      <c r="U46" s="17" t="str">
        <f t="shared" si="1"/>
        <v>Loading...</v>
      </c>
      <c r="V46" s="17" t="str">
        <f t="shared" si="2"/>
        <v>Loading...</v>
      </c>
    </row>
    <row r="47" ht="22.5" customHeight="1">
      <c r="A47" s="6">
        <v>46031.78870642361</v>
      </c>
      <c r="B47" s="7" t="s">
        <v>262</v>
      </c>
      <c r="C47" s="7" t="s">
        <v>475</v>
      </c>
      <c r="D47" s="7" t="s">
        <v>476</v>
      </c>
      <c r="E47" s="7" t="s">
        <v>477</v>
      </c>
      <c r="F47" s="10" t="s">
        <v>478</v>
      </c>
      <c r="G47" s="10" t="s">
        <v>479</v>
      </c>
      <c r="H47" s="10" t="s">
        <v>480</v>
      </c>
      <c r="I47" s="7" t="s">
        <v>481</v>
      </c>
      <c r="J47" s="7" t="s">
        <v>482</v>
      </c>
      <c r="K47" s="7" t="s">
        <v>483</v>
      </c>
      <c r="L47" s="15" t="s">
        <v>484</v>
      </c>
      <c r="N47" s="7" t="s">
        <v>485</v>
      </c>
      <c r="O47" s="7" t="s">
        <v>486</v>
      </c>
      <c r="P47" s="7" t="s">
        <v>96</v>
      </c>
      <c r="U47" s="17">
        <f t="shared" si="1"/>
        <v>302</v>
      </c>
      <c r="V47" s="17">
        <f t="shared" si="2"/>
        <v>0.08</v>
      </c>
    </row>
    <row r="48" ht="23.25" customHeight="1">
      <c r="A48" s="6">
        <v>45974.24592392361</v>
      </c>
      <c r="B48" s="7" t="s">
        <v>262</v>
      </c>
      <c r="C48" s="7" t="s">
        <v>487</v>
      </c>
      <c r="D48" s="7" t="s">
        <v>488</v>
      </c>
      <c r="E48" s="7" t="s">
        <v>489</v>
      </c>
      <c r="F48" s="10" t="s">
        <v>490</v>
      </c>
      <c r="G48" s="10" t="s">
        <v>491</v>
      </c>
      <c r="H48" s="10" t="s">
        <v>492</v>
      </c>
      <c r="I48" s="7" t="s">
        <v>493</v>
      </c>
      <c r="J48" s="7" t="s">
        <v>203</v>
      </c>
      <c r="K48" s="7" t="s">
        <v>483</v>
      </c>
      <c r="L48" s="15" t="s">
        <v>494</v>
      </c>
      <c r="N48" s="7" t="s">
        <v>495</v>
      </c>
      <c r="O48" s="7" t="s">
        <v>496</v>
      </c>
      <c r="P48" s="7" t="s">
        <v>497</v>
      </c>
      <c r="U48" s="17" t="str">
        <f t="shared" si="1"/>
        <v>#ERROR!</v>
      </c>
      <c r="V48" s="17" t="str">
        <f t="shared" si="2"/>
        <v>Loading...</v>
      </c>
    </row>
    <row r="49" ht="22.5" customHeight="1">
      <c r="A49" s="6">
        <v>45974.26011832176</v>
      </c>
      <c r="B49" s="7" t="s">
        <v>262</v>
      </c>
      <c r="C49" s="7" t="s">
        <v>498</v>
      </c>
      <c r="D49" s="7" t="s">
        <v>499</v>
      </c>
      <c r="E49" s="7" t="s">
        <v>500</v>
      </c>
      <c r="F49" s="10" t="s">
        <v>501</v>
      </c>
      <c r="G49" s="10" t="s">
        <v>502</v>
      </c>
      <c r="H49" s="10" t="s">
        <v>503</v>
      </c>
      <c r="I49" s="7" t="s">
        <v>493</v>
      </c>
      <c r="J49" s="7" t="s">
        <v>203</v>
      </c>
      <c r="K49" s="7" t="s">
        <v>483</v>
      </c>
      <c r="L49" s="15" t="s">
        <v>504</v>
      </c>
      <c r="N49" s="7" t="s">
        <v>505</v>
      </c>
      <c r="O49" s="7" t="s">
        <v>506</v>
      </c>
      <c r="P49" s="7" t="s">
        <v>497</v>
      </c>
      <c r="U49" s="17" t="str">
        <f t="shared" si="1"/>
        <v>Loading...</v>
      </c>
      <c r="V49" s="17">
        <f t="shared" si="2"/>
        <v>3.19</v>
      </c>
    </row>
    <row r="50" ht="22.5" customHeight="1">
      <c r="A50" s="6">
        <v>45965.79996599537</v>
      </c>
      <c r="B50" s="7" t="s">
        <v>507</v>
      </c>
      <c r="C50" s="7" t="s">
        <v>508</v>
      </c>
      <c r="D50" s="7" t="s">
        <v>509</v>
      </c>
      <c r="E50" s="7" t="s">
        <v>510</v>
      </c>
      <c r="F50" s="10" t="s">
        <v>511</v>
      </c>
      <c r="G50" s="10" t="s">
        <v>512</v>
      </c>
      <c r="H50" s="10" t="s">
        <v>513</v>
      </c>
      <c r="I50" s="7" t="s">
        <v>269</v>
      </c>
      <c r="J50" s="7" t="s">
        <v>190</v>
      </c>
      <c r="K50" s="7" t="s">
        <v>53</v>
      </c>
      <c r="L50" s="15" t="s">
        <v>514</v>
      </c>
      <c r="N50" s="7" t="s">
        <v>515</v>
      </c>
      <c r="O50" s="7" t="s">
        <v>516</v>
      </c>
      <c r="P50" s="7" t="s">
        <v>96</v>
      </c>
      <c r="Q50" s="12"/>
      <c r="R50" s="12"/>
      <c r="S50" s="12"/>
      <c r="U50" s="17" t="str">
        <f t="shared" si="1"/>
        <v>Loading...</v>
      </c>
      <c r="V50" s="17" t="str">
        <f t="shared" si="2"/>
        <v>Loading...</v>
      </c>
      <c r="W50" s="21"/>
    </row>
    <row r="51" ht="22.5" customHeight="1">
      <c r="A51" s="6">
        <v>45962.210738877315</v>
      </c>
      <c r="B51" s="7" t="s">
        <v>507</v>
      </c>
      <c r="C51" s="8" t="s">
        <v>517</v>
      </c>
      <c r="D51" s="8" t="s">
        <v>518</v>
      </c>
      <c r="E51" s="7" t="s">
        <v>519</v>
      </c>
      <c r="F51" s="10" t="s">
        <v>520</v>
      </c>
      <c r="G51" s="10" t="s">
        <v>521</v>
      </c>
      <c r="H51" s="18" t="s">
        <v>522</v>
      </c>
      <c r="I51" s="8" t="s">
        <v>269</v>
      </c>
      <c r="J51" s="7" t="s">
        <v>190</v>
      </c>
      <c r="K51" s="7" t="s">
        <v>53</v>
      </c>
      <c r="L51" s="15" t="s">
        <v>523</v>
      </c>
      <c r="N51" s="7" t="s">
        <v>524</v>
      </c>
      <c r="O51" s="7" t="s">
        <v>525</v>
      </c>
      <c r="P51" s="12"/>
      <c r="Q51" s="12"/>
      <c r="R51" s="12"/>
      <c r="S51" s="12"/>
      <c r="U51" s="13" t="str">
        <f t="shared" si="1"/>
        <v>#ERROR!</v>
      </c>
      <c r="V51" s="13">
        <f t="shared" si="2"/>
        <v>0.16</v>
      </c>
      <c r="W51" s="13"/>
    </row>
    <row r="52" ht="22.5" customHeight="1">
      <c r="A52" s="6">
        <v>45964.924418888884</v>
      </c>
      <c r="B52" s="7" t="s">
        <v>507</v>
      </c>
      <c r="C52" s="7" t="s">
        <v>526</v>
      </c>
      <c r="D52" s="7" t="s">
        <v>527</v>
      </c>
      <c r="E52" s="7" t="s">
        <v>528</v>
      </c>
      <c r="F52" s="10" t="s">
        <v>529</v>
      </c>
      <c r="G52" s="10" t="s">
        <v>530</v>
      </c>
      <c r="H52" s="10" t="s">
        <v>531</v>
      </c>
      <c r="I52" s="7" t="s">
        <v>269</v>
      </c>
      <c r="J52" s="7" t="s">
        <v>281</v>
      </c>
      <c r="K52" s="7" t="s">
        <v>191</v>
      </c>
      <c r="L52" s="15" t="s">
        <v>270</v>
      </c>
      <c r="N52" s="7" t="s">
        <v>532</v>
      </c>
      <c r="O52" s="7" t="s">
        <v>533</v>
      </c>
      <c r="P52" s="7" t="s">
        <v>534</v>
      </c>
      <c r="Q52" s="12"/>
      <c r="R52" s="12"/>
      <c r="S52" s="12"/>
      <c r="U52" s="17" t="str">
        <f t="shared" si="1"/>
        <v>Loading...</v>
      </c>
      <c r="V52" s="17" t="str">
        <f t="shared" si="2"/>
        <v>Loading...</v>
      </c>
      <c r="W52" s="21"/>
    </row>
    <row r="53" ht="22.5" customHeight="1">
      <c r="A53" s="6">
        <v>45964.928267361116</v>
      </c>
      <c r="B53" s="7" t="s">
        <v>507</v>
      </c>
      <c r="C53" s="7" t="s">
        <v>535</v>
      </c>
      <c r="D53" s="7" t="s">
        <v>536</v>
      </c>
      <c r="E53" s="7" t="s">
        <v>537</v>
      </c>
      <c r="F53" s="10" t="s">
        <v>529</v>
      </c>
      <c r="G53" s="10" t="s">
        <v>538</v>
      </c>
      <c r="H53" s="10" t="s">
        <v>539</v>
      </c>
      <c r="I53" s="7" t="s">
        <v>269</v>
      </c>
      <c r="J53" s="7" t="s">
        <v>203</v>
      </c>
      <c r="K53" s="7" t="s">
        <v>191</v>
      </c>
      <c r="L53" s="15" t="s">
        <v>540</v>
      </c>
      <c r="N53" s="7" t="s">
        <v>541</v>
      </c>
      <c r="O53" s="7" t="s">
        <v>542</v>
      </c>
      <c r="P53" s="7" t="s">
        <v>543</v>
      </c>
      <c r="Q53" s="12"/>
      <c r="R53" s="12"/>
      <c r="S53" s="12"/>
      <c r="U53" s="17" t="str">
        <f t="shared" si="1"/>
        <v>Loading...</v>
      </c>
      <c r="V53" s="17" t="str">
        <f t="shared" si="2"/>
        <v>#ERROR!</v>
      </c>
      <c r="W53" s="21"/>
    </row>
    <row r="54" ht="22.5" customHeight="1">
      <c r="A54" s="6">
        <v>45968.79993300926</v>
      </c>
      <c r="B54" s="7" t="s">
        <v>507</v>
      </c>
      <c r="C54" s="7" t="s">
        <v>544</v>
      </c>
      <c r="D54" s="7" t="s">
        <v>545</v>
      </c>
      <c r="E54" s="7" t="s">
        <v>546</v>
      </c>
      <c r="F54" s="10" t="s">
        <v>547</v>
      </c>
      <c r="G54" s="7" t="s">
        <v>548</v>
      </c>
      <c r="H54" s="10" t="s">
        <v>549</v>
      </c>
      <c r="I54" s="7" t="s">
        <v>269</v>
      </c>
      <c r="J54" s="7" t="s">
        <v>281</v>
      </c>
      <c r="K54" s="7" t="s">
        <v>53</v>
      </c>
      <c r="L54" s="15" t="s">
        <v>43</v>
      </c>
      <c r="N54" s="7" t="s">
        <v>550</v>
      </c>
      <c r="O54" s="7" t="s">
        <v>551</v>
      </c>
      <c r="P54" s="7" t="s">
        <v>130</v>
      </c>
      <c r="U54" s="17">
        <f t="shared" si="1"/>
        <v>302</v>
      </c>
      <c r="V54" s="17">
        <f t="shared" si="2"/>
        <v>0.83</v>
      </c>
    </row>
    <row r="55" ht="22.5" customHeight="1">
      <c r="A55" s="6">
        <v>45968.80309158565</v>
      </c>
      <c r="B55" s="7" t="s">
        <v>507</v>
      </c>
      <c r="C55" s="7" t="s">
        <v>552</v>
      </c>
      <c r="D55" s="7" t="s">
        <v>553</v>
      </c>
      <c r="E55" s="7" t="s">
        <v>554</v>
      </c>
      <c r="F55" s="10" t="s">
        <v>555</v>
      </c>
      <c r="G55" s="10" t="s">
        <v>556</v>
      </c>
      <c r="H55" s="10" t="s">
        <v>557</v>
      </c>
      <c r="I55" s="7" t="s">
        <v>269</v>
      </c>
      <c r="J55" s="7" t="s">
        <v>203</v>
      </c>
      <c r="K55" s="7" t="s">
        <v>53</v>
      </c>
      <c r="L55" s="15" t="s">
        <v>558</v>
      </c>
      <c r="N55" s="7" t="s">
        <v>559</v>
      </c>
      <c r="O55" s="7" t="s">
        <v>560</v>
      </c>
      <c r="P55" s="7" t="s">
        <v>130</v>
      </c>
      <c r="U55" s="17">
        <f t="shared" si="1"/>
        <v>302</v>
      </c>
      <c r="V55" s="17">
        <f t="shared" si="2"/>
        <v>0.66</v>
      </c>
    </row>
    <row r="56" ht="22.5" customHeight="1">
      <c r="A56" s="6">
        <v>45962.780607939814</v>
      </c>
      <c r="B56" s="7" t="s">
        <v>507</v>
      </c>
      <c r="C56" s="8" t="s">
        <v>561</v>
      </c>
      <c r="D56" s="8" t="s">
        <v>562</v>
      </c>
      <c r="E56" s="7" t="s">
        <v>563</v>
      </c>
      <c r="F56" s="10" t="s">
        <v>564</v>
      </c>
      <c r="G56" s="10" t="s">
        <v>565</v>
      </c>
      <c r="H56" s="18" t="s">
        <v>566</v>
      </c>
      <c r="I56" s="8" t="s">
        <v>269</v>
      </c>
      <c r="J56" s="7" t="s">
        <v>190</v>
      </c>
      <c r="K56" s="7" t="s">
        <v>53</v>
      </c>
      <c r="L56" s="15" t="s">
        <v>567</v>
      </c>
      <c r="N56" s="7" t="s">
        <v>568</v>
      </c>
      <c r="O56" s="7" t="s">
        <v>569</v>
      </c>
      <c r="P56" s="12"/>
      <c r="Q56" s="12"/>
      <c r="R56" s="12"/>
      <c r="S56" s="12"/>
      <c r="U56" s="13" t="str">
        <f t="shared" si="1"/>
        <v>#ERROR!</v>
      </c>
      <c r="V56" s="13" t="str">
        <f t="shared" si="2"/>
        <v>Loading...</v>
      </c>
      <c r="W56" s="13"/>
    </row>
    <row r="57" ht="22.5" customHeight="1">
      <c r="A57" s="6">
        <v>45971.492682083335</v>
      </c>
      <c r="B57" s="7" t="s">
        <v>507</v>
      </c>
      <c r="C57" s="7" t="s">
        <v>570</v>
      </c>
      <c r="D57" s="7" t="s">
        <v>571</v>
      </c>
      <c r="E57" s="7" t="s">
        <v>572</v>
      </c>
      <c r="F57" s="10" t="s">
        <v>573</v>
      </c>
      <c r="G57" s="10" t="s">
        <v>574</v>
      </c>
      <c r="H57" s="10" t="s">
        <v>575</v>
      </c>
      <c r="I57" s="7" t="s">
        <v>269</v>
      </c>
      <c r="J57" s="7" t="s">
        <v>576</v>
      </c>
      <c r="K57" s="7" t="s">
        <v>53</v>
      </c>
      <c r="L57" s="15" t="s">
        <v>577</v>
      </c>
      <c r="N57" s="7" t="s">
        <v>578</v>
      </c>
      <c r="O57" s="7" t="s">
        <v>579</v>
      </c>
      <c r="P57" s="7" t="s">
        <v>580</v>
      </c>
      <c r="U57" s="17" t="str">
        <f t="shared" si="1"/>
        <v>Loading...</v>
      </c>
      <c r="V57" s="17">
        <f t="shared" si="2"/>
        <v>0.07</v>
      </c>
    </row>
    <row r="58" ht="22.5" customHeight="1">
      <c r="A58" s="6">
        <v>45962.98225526621</v>
      </c>
      <c r="B58" s="7" t="s">
        <v>507</v>
      </c>
      <c r="C58" s="7" t="s">
        <v>581</v>
      </c>
      <c r="D58" s="8" t="s">
        <v>582</v>
      </c>
      <c r="E58" s="7" t="s">
        <v>583</v>
      </c>
      <c r="F58" s="10" t="s">
        <v>584</v>
      </c>
      <c r="G58" s="10" t="s">
        <v>585</v>
      </c>
      <c r="H58" s="18" t="s">
        <v>586</v>
      </c>
      <c r="I58" s="7" t="s">
        <v>269</v>
      </c>
      <c r="J58" s="7" t="s">
        <v>190</v>
      </c>
      <c r="K58" s="7" t="s">
        <v>53</v>
      </c>
      <c r="L58" s="15" t="s">
        <v>587</v>
      </c>
      <c r="N58" s="7" t="s">
        <v>588</v>
      </c>
      <c r="O58" s="7" t="s">
        <v>589</v>
      </c>
      <c r="P58" s="12"/>
      <c r="Q58" s="12"/>
      <c r="R58" s="12"/>
      <c r="S58" s="12"/>
      <c r="U58" s="13" t="str">
        <f t="shared" si="1"/>
        <v>Loading...</v>
      </c>
      <c r="V58" s="13" t="str">
        <f t="shared" si="2"/>
        <v>#ERROR!</v>
      </c>
      <c r="W58" s="13"/>
    </row>
    <row r="59" ht="22.5" customHeight="1">
      <c r="A59" s="6">
        <v>45971.48571835648</v>
      </c>
      <c r="B59" s="7" t="s">
        <v>507</v>
      </c>
      <c r="C59" s="7" t="s">
        <v>590</v>
      </c>
      <c r="D59" s="7" t="s">
        <v>591</v>
      </c>
      <c r="E59" s="7" t="s">
        <v>592</v>
      </c>
      <c r="F59" s="10" t="s">
        <v>593</v>
      </c>
      <c r="G59" s="10" t="s">
        <v>594</v>
      </c>
      <c r="H59" s="10" t="s">
        <v>595</v>
      </c>
      <c r="I59" s="7" t="s">
        <v>269</v>
      </c>
      <c r="J59" s="7" t="s">
        <v>576</v>
      </c>
      <c r="K59" s="7" t="s">
        <v>53</v>
      </c>
      <c r="L59" s="15" t="s">
        <v>596</v>
      </c>
      <c r="N59" s="7" t="s">
        <v>597</v>
      </c>
      <c r="O59" s="7" t="s">
        <v>598</v>
      </c>
      <c r="P59" s="7" t="s">
        <v>580</v>
      </c>
      <c r="U59" s="17">
        <f t="shared" si="1"/>
        <v>302</v>
      </c>
      <c r="V59" s="17" t="str">
        <f t="shared" si="2"/>
        <v>Loading...</v>
      </c>
    </row>
    <row r="60" ht="22.5" customHeight="1">
      <c r="A60" s="6">
        <v>45964.855968159725</v>
      </c>
      <c r="B60" s="7" t="s">
        <v>507</v>
      </c>
      <c r="C60" s="7" t="s">
        <v>599</v>
      </c>
      <c r="D60" s="7" t="s">
        <v>600</v>
      </c>
      <c r="E60" s="7" t="s">
        <v>601</v>
      </c>
      <c r="F60" s="10" t="s">
        <v>602</v>
      </c>
      <c r="G60" s="10" t="s">
        <v>603</v>
      </c>
      <c r="H60" s="10" t="s">
        <v>604</v>
      </c>
      <c r="I60" s="8" t="s">
        <v>269</v>
      </c>
      <c r="J60" s="7" t="s">
        <v>64</v>
      </c>
      <c r="K60" s="7" t="s">
        <v>605</v>
      </c>
      <c r="L60" s="15" t="s">
        <v>606</v>
      </c>
      <c r="N60" s="7" t="s">
        <v>607</v>
      </c>
      <c r="O60" s="7" t="s">
        <v>608</v>
      </c>
      <c r="P60" s="12"/>
      <c r="Q60" s="12"/>
      <c r="R60" s="12"/>
      <c r="S60" s="12"/>
      <c r="U60" s="13">
        <f t="shared" si="1"/>
        <v>200</v>
      </c>
      <c r="V60" s="13">
        <f t="shared" si="2"/>
        <v>0.05</v>
      </c>
      <c r="W60" s="13"/>
    </row>
    <row r="61" ht="22.5" customHeight="1">
      <c r="A61" s="6">
        <v>45964.861641446754</v>
      </c>
      <c r="B61" s="7" t="s">
        <v>507</v>
      </c>
      <c r="C61" s="7" t="s">
        <v>609</v>
      </c>
      <c r="D61" s="7" t="s">
        <v>610</v>
      </c>
      <c r="E61" s="7" t="s">
        <v>611</v>
      </c>
      <c r="F61" s="10" t="s">
        <v>612</v>
      </c>
      <c r="G61" s="10" t="s">
        <v>613</v>
      </c>
      <c r="H61" s="10" t="s">
        <v>614</v>
      </c>
      <c r="I61" s="8" t="s">
        <v>269</v>
      </c>
      <c r="J61" s="7" t="s">
        <v>190</v>
      </c>
      <c r="K61" s="7" t="s">
        <v>53</v>
      </c>
      <c r="L61" s="15" t="s">
        <v>43</v>
      </c>
      <c r="N61" s="7" t="s">
        <v>615</v>
      </c>
      <c r="O61" s="7" t="s">
        <v>616</v>
      </c>
      <c r="P61" s="12"/>
      <c r="Q61" s="12"/>
      <c r="R61" s="12"/>
      <c r="S61" s="12"/>
      <c r="U61" s="13">
        <f t="shared" si="1"/>
        <v>200</v>
      </c>
      <c r="V61" s="13" t="str">
        <f t="shared" si="2"/>
        <v>Loading...</v>
      </c>
      <c r="W61" s="13"/>
    </row>
    <row r="62" ht="22.5" customHeight="1">
      <c r="A62" s="6">
        <v>45966.160705902774</v>
      </c>
      <c r="B62" s="7" t="s">
        <v>507</v>
      </c>
      <c r="C62" s="7" t="s">
        <v>617</v>
      </c>
      <c r="D62" s="7" t="s">
        <v>618</v>
      </c>
      <c r="E62" s="7" t="s">
        <v>619</v>
      </c>
      <c r="F62" s="10" t="s">
        <v>620</v>
      </c>
      <c r="G62" s="10" t="s">
        <v>621</v>
      </c>
      <c r="H62" s="16" t="s">
        <v>621</v>
      </c>
      <c r="I62" s="7" t="s">
        <v>269</v>
      </c>
      <c r="J62" s="7" t="s">
        <v>203</v>
      </c>
      <c r="K62" s="7" t="s">
        <v>53</v>
      </c>
      <c r="L62" s="15" t="s">
        <v>622</v>
      </c>
      <c r="N62" s="7" t="s">
        <v>623</v>
      </c>
      <c r="O62" s="7" t="s">
        <v>624</v>
      </c>
      <c r="P62" s="7" t="s">
        <v>415</v>
      </c>
      <c r="U62" s="17" t="str">
        <f t="shared" si="1"/>
        <v>Loading...</v>
      </c>
      <c r="V62" s="17" t="str">
        <f t="shared" si="2"/>
        <v>Loading...</v>
      </c>
      <c r="W62" s="21"/>
    </row>
    <row r="63" ht="22.5" customHeight="1">
      <c r="A63" s="6">
        <v>45962.673469733796</v>
      </c>
      <c r="B63" s="7" t="s">
        <v>507</v>
      </c>
      <c r="C63" s="8" t="s">
        <v>625</v>
      </c>
      <c r="D63" s="8" t="s">
        <v>626</v>
      </c>
      <c r="E63" s="7" t="s">
        <v>627</v>
      </c>
      <c r="F63" s="18" t="s">
        <v>628</v>
      </c>
      <c r="G63" s="10" t="s">
        <v>629</v>
      </c>
      <c r="H63" s="18" t="s">
        <v>630</v>
      </c>
      <c r="I63" s="8" t="s">
        <v>269</v>
      </c>
      <c r="J63" s="7" t="s">
        <v>190</v>
      </c>
      <c r="K63" s="7" t="s">
        <v>92</v>
      </c>
      <c r="L63" s="15" t="s">
        <v>270</v>
      </c>
      <c r="N63" s="7" t="s">
        <v>631</v>
      </c>
      <c r="O63" s="7" t="s">
        <v>632</v>
      </c>
      <c r="P63" s="12"/>
      <c r="Q63" s="12"/>
      <c r="R63" s="12"/>
      <c r="S63" s="12"/>
      <c r="U63" s="13" t="str">
        <f t="shared" si="1"/>
        <v>Loading...</v>
      </c>
      <c r="V63" s="13">
        <f t="shared" si="2"/>
        <v>0.04</v>
      </c>
      <c r="W63" s="13"/>
    </row>
    <row r="64" ht="22.5" customHeight="1">
      <c r="A64" s="27">
        <v>45961.90485893519</v>
      </c>
      <c r="B64" s="28" t="s">
        <v>633</v>
      </c>
      <c r="C64" s="29" t="s">
        <v>634</v>
      </c>
      <c r="D64" s="29" t="s">
        <v>635</v>
      </c>
      <c r="E64" s="28" t="s">
        <v>636</v>
      </c>
      <c r="F64" s="30" t="s">
        <v>637</v>
      </c>
      <c r="G64" s="30" t="s">
        <v>638</v>
      </c>
      <c r="H64" s="30" t="s">
        <v>639</v>
      </c>
      <c r="I64" s="8" t="s">
        <v>269</v>
      </c>
      <c r="J64" s="28" t="s">
        <v>203</v>
      </c>
      <c r="K64" s="28" t="s">
        <v>42</v>
      </c>
      <c r="L64" s="28" t="s">
        <v>640</v>
      </c>
      <c r="M64" s="21"/>
      <c r="N64" s="28" t="s">
        <v>641</v>
      </c>
      <c r="O64" s="28" t="s">
        <v>642</v>
      </c>
      <c r="P64" s="13"/>
      <c r="Q64" s="13"/>
      <c r="R64" s="13"/>
      <c r="S64" s="13"/>
      <c r="T64" s="13"/>
      <c r="U64" s="13">
        <f t="shared" si="1"/>
        <v>200</v>
      </c>
      <c r="V64" s="13">
        <f t="shared" si="2"/>
        <v>0.12</v>
      </c>
      <c r="W64" s="13"/>
    </row>
    <row r="65" ht="22.5" customHeight="1">
      <c r="A65" s="6">
        <v>46031.75467922454</v>
      </c>
      <c r="B65" s="7" t="s">
        <v>633</v>
      </c>
      <c r="C65" s="7" t="s">
        <v>643</v>
      </c>
      <c r="D65" s="7" t="s">
        <v>644</v>
      </c>
      <c r="E65" s="7" t="s">
        <v>645</v>
      </c>
      <c r="F65" s="10" t="s">
        <v>646</v>
      </c>
      <c r="G65" s="10" t="s">
        <v>647</v>
      </c>
      <c r="H65" s="10" t="s">
        <v>648</v>
      </c>
      <c r="I65" s="7" t="s">
        <v>269</v>
      </c>
      <c r="J65" s="7" t="s">
        <v>203</v>
      </c>
      <c r="K65" s="7" t="s">
        <v>649</v>
      </c>
      <c r="L65" s="15" t="s">
        <v>650</v>
      </c>
      <c r="N65" s="7" t="s">
        <v>651</v>
      </c>
      <c r="O65" s="7" t="s">
        <v>652</v>
      </c>
      <c r="P65" s="7" t="s">
        <v>105</v>
      </c>
      <c r="U65" s="17">
        <f t="shared" si="1"/>
        <v>200</v>
      </c>
      <c r="V65" s="17">
        <f t="shared" si="2"/>
        <v>0.81</v>
      </c>
    </row>
    <row r="66" ht="22.5" customHeight="1">
      <c r="A66" s="6">
        <v>45986.41955131944</v>
      </c>
      <c r="B66" s="7" t="s">
        <v>633</v>
      </c>
      <c r="C66" s="7" t="s">
        <v>653</v>
      </c>
      <c r="D66" s="7" t="s">
        <v>654</v>
      </c>
      <c r="E66" s="7" t="s">
        <v>655</v>
      </c>
      <c r="F66" s="10" t="s">
        <v>656</v>
      </c>
      <c r="G66" s="10" t="s">
        <v>657</v>
      </c>
      <c r="H66" s="16" t="s">
        <v>658</v>
      </c>
      <c r="I66" s="7" t="s">
        <v>269</v>
      </c>
      <c r="J66" s="7" t="s">
        <v>203</v>
      </c>
      <c r="K66" s="7" t="s">
        <v>82</v>
      </c>
      <c r="L66" s="15" t="s">
        <v>659</v>
      </c>
      <c r="N66" s="7" t="s">
        <v>660</v>
      </c>
      <c r="O66" s="7" t="s">
        <v>661</v>
      </c>
      <c r="P66" s="7" t="s">
        <v>662</v>
      </c>
      <c r="U66" s="17">
        <f t="shared" si="1"/>
        <v>302</v>
      </c>
      <c r="V66" s="17" t="str">
        <f t="shared" si="2"/>
        <v>Loading...</v>
      </c>
    </row>
    <row r="67" ht="22.5" customHeight="1">
      <c r="A67" s="6">
        <v>45969.82434802083</v>
      </c>
      <c r="B67" s="7" t="s">
        <v>663</v>
      </c>
      <c r="C67" s="7" t="s">
        <v>664</v>
      </c>
      <c r="D67" s="7" t="s">
        <v>665</v>
      </c>
      <c r="E67" s="7" t="s">
        <v>666</v>
      </c>
      <c r="F67" s="10" t="s">
        <v>667</v>
      </c>
      <c r="G67" s="10" t="s">
        <v>668</v>
      </c>
      <c r="H67" s="10" t="s">
        <v>669</v>
      </c>
      <c r="J67" s="7" t="s">
        <v>670</v>
      </c>
      <c r="K67" s="7" t="s">
        <v>42</v>
      </c>
      <c r="L67" s="15" t="s">
        <v>671</v>
      </c>
      <c r="N67" s="7" t="s">
        <v>672</v>
      </c>
      <c r="O67" s="7" t="s">
        <v>673</v>
      </c>
      <c r="P67" s="7" t="s">
        <v>96</v>
      </c>
      <c r="U67" s="17">
        <f t="shared" si="1"/>
        <v>302</v>
      </c>
      <c r="V67" s="17">
        <f t="shared" si="2"/>
        <v>0.12</v>
      </c>
    </row>
    <row r="68" ht="22.5" customHeight="1">
      <c r="A68" s="6">
        <v>45964.74980144676</v>
      </c>
      <c r="B68" s="7" t="s">
        <v>663</v>
      </c>
      <c r="C68" s="7" t="s">
        <v>674</v>
      </c>
      <c r="D68" s="7" t="s">
        <v>675</v>
      </c>
      <c r="E68" s="7" t="s">
        <v>676</v>
      </c>
      <c r="F68" s="10" t="s">
        <v>677</v>
      </c>
      <c r="G68" s="10" t="s">
        <v>678</v>
      </c>
      <c r="H68" s="10" t="s">
        <v>679</v>
      </c>
      <c r="I68" s="7" t="s">
        <v>680</v>
      </c>
      <c r="J68" s="7" t="s">
        <v>681</v>
      </c>
      <c r="K68" s="7" t="s">
        <v>82</v>
      </c>
      <c r="L68" s="15" t="s">
        <v>682</v>
      </c>
      <c r="N68" s="7" t="s">
        <v>683</v>
      </c>
      <c r="O68" s="7" t="s">
        <v>684</v>
      </c>
      <c r="P68" s="12"/>
      <c r="Q68" s="12"/>
      <c r="R68" s="12"/>
      <c r="S68" s="12"/>
      <c r="U68" s="13">
        <f t="shared" si="1"/>
        <v>200</v>
      </c>
      <c r="V68" s="13">
        <f t="shared" si="2"/>
        <v>1.45</v>
      </c>
      <c r="W68" s="13"/>
    </row>
    <row r="69" ht="22.5" customHeight="1">
      <c r="A69" s="6">
        <v>45962.680467199076</v>
      </c>
      <c r="B69" s="7" t="s">
        <v>663</v>
      </c>
      <c r="C69" s="8" t="s">
        <v>685</v>
      </c>
      <c r="D69" s="8" t="s">
        <v>686</v>
      </c>
      <c r="E69" s="7" t="s">
        <v>687</v>
      </c>
      <c r="F69" s="18" t="s">
        <v>688</v>
      </c>
      <c r="G69" s="10" t="s">
        <v>689</v>
      </c>
      <c r="H69" s="10" t="s">
        <v>690</v>
      </c>
      <c r="I69" s="8" t="s">
        <v>269</v>
      </c>
      <c r="J69" s="7" t="s">
        <v>691</v>
      </c>
      <c r="K69" s="7" t="s">
        <v>42</v>
      </c>
      <c r="L69" s="15" t="s">
        <v>692</v>
      </c>
      <c r="N69" s="7" t="s">
        <v>693</v>
      </c>
      <c r="O69" s="7" t="s">
        <v>694</v>
      </c>
      <c r="P69" s="12"/>
      <c r="Q69" s="12"/>
      <c r="R69" s="12"/>
      <c r="S69" s="12"/>
      <c r="U69" s="13" t="str">
        <f t="shared" si="1"/>
        <v>#ERROR!</v>
      </c>
      <c r="V69" s="13">
        <f t="shared" si="2"/>
        <v>0.46</v>
      </c>
      <c r="W69" s="13"/>
    </row>
    <row r="70" ht="22.5" customHeight="1">
      <c r="A70" s="6">
        <v>45962.690968483796</v>
      </c>
      <c r="B70" s="7" t="s">
        <v>663</v>
      </c>
      <c r="C70" s="8" t="s">
        <v>695</v>
      </c>
      <c r="D70" s="8" t="s">
        <v>696</v>
      </c>
      <c r="E70" s="7" t="s">
        <v>697</v>
      </c>
      <c r="F70" s="10" t="s">
        <v>698</v>
      </c>
      <c r="G70" s="24" t="s">
        <v>699</v>
      </c>
      <c r="H70" s="10" t="s">
        <v>700</v>
      </c>
      <c r="I70" s="8" t="s">
        <v>269</v>
      </c>
      <c r="J70" s="7" t="s">
        <v>691</v>
      </c>
      <c r="K70" s="7" t="s">
        <v>42</v>
      </c>
      <c r="L70" s="15" t="s">
        <v>701</v>
      </c>
      <c r="N70" s="7" t="s">
        <v>702</v>
      </c>
      <c r="O70" s="7" t="s">
        <v>703</v>
      </c>
      <c r="P70" s="12"/>
      <c r="Q70" s="12"/>
      <c r="R70" s="12"/>
      <c r="S70" s="12"/>
      <c r="U70" s="13" t="str">
        <f t="shared" si="1"/>
        <v>Loading...</v>
      </c>
      <c r="V70" s="13">
        <f t="shared" si="2"/>
        <v>1.03</v>
      </c>
      <c r="W70" s="13"/>
    </row>
    <row r="71" ht="22.5" customHeight="1">
      <c r="A71" s="6">
        <v>45973.93876482639</v>
      </c>
      <c r="B71" s="7" t="s">
        <v>663</v>
      </c>
      <c r="C71" s="7" t="s">
        <v>704</v>
      </c>
      <c r="D71" s="7" t="s">
        <v>705</v>
      </c>
      <c r="E71" s="7" t="s">
        <v>706</v>
      </c>
      <c r="F71" s="10" t="s">
        <v>707</v>
      </c>
      <c r="G71" s="10" t="s">
        <v>708</v>
      </c>
      <c r="H71" s="10" t="s">
        <v>709</v>
      </c>
      <c r="J71" s="7" t="s">
        <v>670</v>
      </c>
      <c r="K71" s="7" t="s">
        <v>710</v>
      </c>
      <c r="L71" s="15" t="s">
        <v>711</v>
      </c>
      <c r="N71" s="7" t="s">
        <v>712</v>
      </c>
      <c r="O71" s="7" t="s">
        <v>713</v>
      </c>
      <c r="P71" s="7" t="s">
        <v>195</v>
      </c>
      <c r="U71" s="17">
        <f t="shared" si="1"/>
        <v>200</v>
      </c>
      <c r="V71" s="17">
        <f t="shared" si="2"/>
        <v>0.39</v>
      </c>
    </row>
    <row r="72" ht="22.5" customHeight="1">
      <c r="A72" s="6">
        <v>45973.93876482639</v>
      </c>
      <c r="B72" s="7" t="s">
        <v>663</v>
      </c>
      <c r="C72" s="7" t="s">
        <v>714</v>
      </c>
      <c r="D72" s="7" t="s">
        <v>715</v>
      </c>
      <c r="E72" s="7" t="s">
        <v>716</v>
      </c>
      <c r="F72" s="10" t="s">
        <v>707</v>
      </c>
      <c r="G72" s="10" t="s">
        <v>717</v>
      </c>
      <c r="H72" s="10" t="s">
        <v>718</v>
      </c>
      <c r="J72" s="7" t="s">
        <v>670</v>
      </c>
      <c r="K72" s="7" t="s">
        <v>191</v>
      </c>
      <c r="L72" s="15" t="s">
        <v>711</v>
      </c>
      <c r="N72" s="7" t="s">
        <v>712</v>
      </c>
      <c r="O72" s="7" t="s">
        <v>713</v>
      </c>
      <c r="P72" s="7" t="s">
        <v>195</v>
      </c>
      <c r="U72" s="17" t="str">
        <f t="shared" si="1"/>
        <v>Loading...</v>
      </c>
      <c r="V72" s="17">
        <f t="shared" si="2"/>
        <v>0.39</v>
      </c>
    </row>
    <row r="73" ht="22.5" customHeight="1">
      <c r="A73" s="6">
        <v>45973.94144946759</v>
      </c>
      <c r="B73" s="7" t="s">
        <v>663</v>
      </c>
      <c r="C73" s="7" t="s">
        <v>719</v>
      </c>
      <c r="D73" s="7" t="s">
        <v>720</v>
      </c>
      <c r="E73" s="7" t="s">
        <v>721</v>
      </c>
      <c r="F73" s="18" t="s">
        <v>722</v>
      </c>
      <c r="G73" s="10" t="s">
        <v>723</v>
      </c>
      <c r="H73" s="10" t="s">
        <v>723</v>
      </c>
      <c r="J73" s="7" t="s">
        <v>670</v>
      </c>
      <c r="K73" s="7" t="s">
        <v>191</v>
      </c>
      <c r="L73" s="15" t="s">
        <v>724</v>
      </c>
      <c r="N73" s="7" t="s">
        <v>725</v>
      </c>
      <c r="O73" s="7" t="s">
        <v>726</v>
      </c>
      <c r="P73" s="7" t="s">
        <v>195</v>
      </c>
      <c r="U73" s="17" t="str">
        <f t="shared" si="1"/>
        <v>Loading...</v>
      </c>
      <c r="V73" s="17">
        <f t="shared" si="2"/>
        <v>0.17</v>
      </c>
    </row>
    <row r="74" ht="22.5" customHeight="1">
      <c r="A74" s="6">
        <v>45974.27357578704</v>
      </c>
      <c r="B74" s="7" t="s">
        <v>663</v>
      </c>
      <c r="C74" s="7" t="s">
        <v>727</v>
      </c>
      <c r="D74" s="7" t="s">
        <v>728</v>
      </c>
      <c r="E74" s="7" t="s">
        <v>729</v>
      </c>
      <c r="F74" s="18" t="s">
        <v>730</v>
      </c>
      <c r="G74" s="10" t="s">
        <v>731</v>
      </c>
      <c r="H74" s="10" t="s">
        <v>732</v>
      </c>
      <c r="I74" s="7" t="s">
        <v>493</v>
      </c>
      <c r="J74" s="7" t="s">
        <v>203</v>
      </c>
      <c r="K74" s="7" t="s">
        <v>483</v>
      </c>
      <c r="L74" s="15" t="s">
        <v>733</v>
      </c>
      <c r="N74" s="7" t="s">
        <v>734</v>
      </c>
      <c r="O74" s="7" t="s">
        <v>735</v>
      </c>
      <c r="P74" s="7" t="s">
        <v>497</v>
      </c>
      <c r="U74" s="17" t="str">
        <f t="shared" si="1"/>
        <v>#ERROR!</v>
      </c>
      <c r="V74" s="17" t="str">
        <f t="shared" si="2"/>
        <v>Loading...</v>
      </c>
    </row>
    <row r="75" ht="22.5" customHeight="1">
      <c r="A75" s="6">
        <v>45974.267586875</v>
      </c>
      <c r="B75" s="7" t="s">
        <v>663</v>
      </c>
      <c r="C75" s="7" t="s">
        <v>736</v>
      </c>
      <c r="D75" s="7" t="s">
        <v>737</v>
      </c>
      <c r="E75" s="7" t="s">
        <v>738</v>
      </c>
      <c r="F75" s="24" t="s">
        <v>739</v>
      </c>
      <c r="G75" s="10" t="s">
        <v>740</v>
      </c>
      <c r="H75" s="10" t="s">
        <v>741</v>
      </c>
      <c r="I75" s="7" t="s">
        <v>493</v>
      </c>
      <c r="J75" s="7" t="s">
        <v>203</v>
      </c>
      <c r="K75" s="7" t="s">
        <v>483</v>
      </c>
      <c r="L75" s="15" t="s">
        <v>733</v>
      </c>
      <c r="N75" s="7" t="s">
        <v>742</v>
      </c>
      <c r="O75" s="7" t="s">
        <v>743</v>
      </c>
      <c r="P75" s="7" t="s">
        <v>497</v>
      </c>
      <c r="U75" s="17" t="str">
        <f t="shared" si="1"/>
        <v>Loading...</v>
      </c>
      <c r="V75" s="17">
        <f t="shared" si="2"/>
        <v>2.04</v>
      </c>
    </row>
    <row r="76" ht="22.5" customHeight="1">
      <c r="A76" s="6">
        <v>45973.79679445602</v>
      </c>
      <c r="B76" s="7" t="s">
        <v>663</v>
      </c>
      <c r="C76" s="7" t="s">
        <v>744</v>
      </c>
      <c r="D76" s="7" t="s">
        <v>745</v>
      </c>
      <c r="E76" s="7" t="s">
        <v>746</v>
      </c>
      <c r="F76" s="10" t="s">
        <v>747</v>
      </c>
      <c r="G76" s="10" t="s">
        <v>748</v>
      </c>
      <c r="H76" s="10" t="s">
        <v>749</v>
      </c>
      <c r="I76" s="7" t="s">
        <v>750</v>
      </c>
      <c r="J76" s="7" t="s">
        <v>670</v>
      </c>
      <c r="K76" s="7" t="s">
        <v>191</v>
      </c>
      <c r="L76" s="15" t="s">
        <v>751</v>
      </c>
      <c r="N76" s="7" t="s">
        <v>752</v>
      </c>
      <c r="O76" s="7" t="s">
        <v>752</v>
      </c>
      <c r="P76" s="7" t="s">
        <v>753</v>
      </c>
      <c r="U76" s="17" t="str">
        <f t="shared" si="1"/>
        <v>Loading...</v>
      </c>
      <c r="V76" s="17">
        <f t="shared" si="2"/>
        <v>0.25</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754</v>
      </c>
      <c r="G1" s="36" t="s">
        <v>755</v>
      </c>
      <c r="H1" s="36" t="s">
        <v>10</v>
      </c>
      <c r="I1" s="36" t="s">
        <v>756</v>
      </c>
      <c r="J1" s="36" t="s">
        <v>9</v>
      </c>
      <c r="K1" s="36" t="s">
        <v>9</v>
      </c>
      <c r="L1" s="36" t="s">
        <v>757</v>
      </c>
      <c r="M1" s="36" t="s">
        <v>8</v>
      </c>
      <c r="N1" s="36" t="s">
        <v>8</v>
      </c>
      <c r="O1" s="36" t="s">
        <v>758</v>
      </c>
      <c r="P1" s="37" t="s">
        <v>11</v>
      </c>
      <c r="Q1" s="37" t="s">
        <v>11</v>
      </c>
      <c r="R1" s="36" t="s">
        <v>13</v>
      </c>
      <c r="S1" s="36" t="s">
        <v>3</v>
      </c>
      <c r="T1" s="37" t="s">
        <v>6</v>
      </c>
      <c r="U1" s="37" t="s">
        <v>7</v>
      </c>
      <c r="V1" s="36" t="s">
        <v>14</v>
      </c>
      <c r="W1" s="36" t="s">
        <v>14</v>
      </c>
      <c r="X1" s="36" t="s">
        <v>4</v>
      </c>
      <c r="Y1" s="36" t="s">
        <v>4</v>
      </c>
    </row>
    <row r="2">
      <c r="A2" s="38">
        <v>1.0</v>
      </c>
      <c r="B2" s="38" t="s">
        <v>759</v>
      </c>
      <c r="C2" s="38" t="s">
        <v>760</v>
      </c>
      <c r="D2" s="38" t="s">
        <v>761</v>
      </c>
      <c r="E2" s="38" t="s">
        <v>762</v>
      </c>
      <c r="F2" s="38" t="s">
        <v>763</v>
      </c>
      <c r="G2" s="38" t="s">
        <v>764</v>
      </c>
      <c r="H2" s="38" t="s">
        <v>765</v>
      </c>
      <c r="I2" s="38" t="s">
        <v>763</v>
      </c>
      <c r="J2" s="38" t="s">
        <v>764</v>
      </c>
      <c r="K2" s="38" t="s">
        <v>765</v>
      </c>
      <c r="L2" s="38" t="s">
        <v>763</v>
      </c>
      <c r="M2" s="38" t="s">
        <v>764</v>
      </c>
      <c r="N2" s="38" t="s">
        <v>765</v>
      </c>
      <c r="O2" s="38" t="s">
        <v>763</v>
      </c>
      <c r="P2" s="38" t="s">
        <v>764</v>
      </c>
      <c r="Q2" s="38" t="s">
        <v>765</v>
      </c>
      <c r="R2" s="38" t="s">
        <v>766</v>
      </c>
      <c r="S2" s="38" t="s">
        <v>767</v>
      </c>
      <c r="T2" s="38" t="s">
        <v>768</v>
      </c>
      <c r="U2" s="38" t="s">
        <v>769</v>
      </c>
      <c r="V2" s="38" t="s">
        <v>770</v>
      </c>
      <c r="W2" s="39" t="s">
        <v>771</v>
      </c>
      <c r="X2" s="38" t="s">
        <v>770</v>
      </c>
      <c r="Y2" s="39" t="s">
        <v>771</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https://agupubs.onlinelibrary.wiley.com/cms/asset/7decc330-7468-429c-bae9-ac51b085be30/gbc21584-fig-0007-m.jpg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https://agupubs.onlinelibrary.wiley.com/cms/asset/5a2e5698-13ed-46e3-8271-d27e47d72dbc/jame21511-fig-0001-m.png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https://agupubs.onlinelibrary.wiley.com/cms/asset/f0d6e78d-0937-4fb5-9079-da046365f27b/jame21511-fig-0001-m.jpg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https://agupubs.onlinelibrary.wiley.com/cms/asset/c4abf6e9-b8d0-4d90-bb8c-4cc9ac68fe82/jame21703-fig-0001-m.jpg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continuous, 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12-month climatology referenced to 2013; linear trend 2003–2021</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https://agupubs.onlinelibrary.wiley.com/cms/asset/1787fd59-795c-4979-9565-6e7270b0fdbf/gbc20348-fig-0002-m.jpg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https://agupubs.onlinelibrary.wiley.com/cms/asset/a70dc130-3967-4e0c-bab1-fa5967af0a63/gbc21075-fig-0003-m.jpg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https://agupubs.onlinelibrary.wiley.com/cms/asset/01d62381-cb8c-4b6f-9cbc-70946ed98dff/gbc21476-fig-0001-m.jpg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https://www.pnas.org/cms/10.1073/pnas.1900371116/asset/284a7ec7-9bf5-4d3a-a5ba-86242a3e1b26/assets/graphic/pnas.1900371116fig01.jpeg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https://agupubs.onlinelibrary.wiley.com/cms/asset/9184aab2-af20-4a63-9a8f-d0a99a4602bc/jame21817-fig-0008-m.jpg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